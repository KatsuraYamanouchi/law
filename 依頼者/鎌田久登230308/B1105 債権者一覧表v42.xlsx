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X:\law\依頼者\鎌田久登230308\"/>
    </mc:Choice>
  </mc:AlternateContent>
  <xr:revisionPtr revIDLastSave="0" documentId="8_{B5C5CF03-F51E-40AE-A683-177F85ECE44E}" xr6:coauthVersionLast="47" xr6:coauthVersionMax="47" xr10:uidLastSave="{00000000-0000-0000-0000-000000000000}"/>
  <bookViews>
    <workbookView xWindow="36990" yWindow="5775" windowWidth="28020" windowHeight="15090" xr2:uid="{00000000-000D-0000-FFFF-FFFF00000000}"/>
  </bookViews>
  <sheets>
    <sheet name="DataSheet" sheetId="2" r:id="rId1"/>
    <sheet name="債権者一覧表（破産用）" sheetId="3" r:id="rId2"/>
  </sheets>
  <definedNames>
    <definedName name="_xlnm.Print_Titles" localSheetId="1">'債権者一覧表（破産用）'!$1:$1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 i="2" l="1"/>
  <c r="B17" i="3"/>
  <c r="C17" i="3"/>
  <c r="D17" i="3"/>
  <c r="E17" i="3"/>
  <c r="G17" i="3"/>
  <c r="H17" i="3"/>
  <c r="I17" i="3"/>
  <c r="J17" i="3"/>
  <c r="K17" i="3"/>
  <c r="B15" i="3"/>
  <c r="C15" i="3"/>
  <c r="D15" i="3"/>
  <c r="E15" i="3"/>
  <c r="G15" i="3"/>
  <c r="H15" i="3"/>
  <c r="I15" i="3"/>
  <c r="J15" i="3"/>
  <c r="K15" i="3"/>
  <c r="B16" i="3"/>
  <c r="C16" i="3"/>
  <c r="D16" i="3"/>
  <c r="E16" i="3"/>
  <c r="G16" i="3"/>
  <c r="H16" i="3"/>
  <c r="I16" i="3"/>
  <c r="J16" i="3"/>
  <c r="K16" i="3"/>
  <c r="B11" i="3"/>
  <c r="C11" i="3"/>
  <c r="D11" i="3"/>
  <c r="E11" i="3"/>
  <c r="G11" i="3"/>
  <c r="H11" i="3"/>
  <c r="I11" i="3"/>
  <c r="J11" i="3"/>
  <c r="K11" i="3"/>
  <c r="B12" i="3"/>
  <c r="C12" i="3"/>
  <c r="D12" i="3"/>
  <c r="E12" i="3"/>
  <c r="G12" i="3"/>
  <c r="H12" i="3"/>
  <c r="I12" i="3"/>
  <c r="J12" i="3"/>
  <c r="K12" i="3"/>
  <c r="B13" i="3"/>
  <c r="C13" i="3"/>
  <c r="D13" i="3"/>
  <c r="E13" i="3"/>
  <c r="G13" i="3"/>
  <c r="H13" i="3"/>
  <c r="I13" i="3"/>
  <c r="J13" i="3"/>
  <c r="K13" i="3"/>
  <c r="B14" i="3"/>
  <c r="C14" i="3"/>
  <c r="D14" i="3"/>
  <c r="E14" i="3"/>
  <c r="G14" i="3"/>
  <c r="H14" i="3"/>
  <c r="I14" i="3"/>
  <c r="J14" i="3"/>
  <c r="K14" i="3"/>
  <c r="B8" i="3"/>
  <c r="C8" i="3"/>
  <c r="D8" i="3"/>
  <c r="E8" i="3"/>
  <c r="G8" i="3"/>
  <c r="H8" i="3"/>
  <c r="I8" i="3"/>
  <c r="J8" i="3"/>
  <c r="K8" i="3"/>
  <c r="B9" i="3"/>
  <c r="C9" i="3"/>
  <c r="D9" i="3"/>
  <c r="E9" i="3"/>
  <c r="G9" i="3"/>
  <c r="H9" i="3"/>
  <c r="I9" i="3"/>
  <c r="J9" i="3"/>
  <c r="K9" i="3"/>
  <c r="B10" i="3"/>
  <c r="C10" i="3"/>
  <c r="D10" i="3"/>
  <c r="E10" i="3"/>
  <c r="G10" i="3"/>
  <c r="H10" i="3"/>
  <c r="I10" i="3"/>
  <c r="J10" i="3"/>
  <c r="K10" i="3"/>
  <c r="H2" i="3"/>
  <c r="K3" i="3"/>
  <c r="K4" i="3"/>
  <c r="K5" i="3"/>
  <c r="K6" i="3"/>
  <c r="K7" i="3"/>
  <c r="K2" i="3"/>
  <c r="J3" i="3"/>
  <c r="J4" i="3"/>
  <c r="J5" i="3"/>
  <c r="J6" i="3"/>
  <c r="J7" i="3"/>
  <c r="J2" i="3"/>
  <c r="I5" i="3"/>
  <c r="I6" i="3"/>
  <c r="I7" i="3"/>
  <c r="I4" i="3"/>
  <c r="I3" i="3"/>
  <c r="I2" i="3"/>
  <c r="H3" i="3"/>
  <c r="L3" i="3" s="1"/>
  <c r="H4" i="3"/>
  <c r="L4" i="3" s="1"/>
  <c r="H5" i="3"/>
  <c r="L5" i="3" s="1"/>
  <c r="H6" i="3"/>
  <c r="L6" i="3" s="1"/>
  <c r="H7" i="3"/>
  <c r="G3" i="3"/>
  <c r="G4" i="3"/>
  <c r="G5" i="3"/>
  <c r="G6" i="3"/>
  <c r="G7" i="3"/>
  <c r="G2" i="3"/>
  <c r="E3" i="3"/>
  <c r="E4" i="3"/>
  <c r="E5" i="3"/>
  <c r="E6" i="3"/>
  <c r="E7" i="3"/>
  <c r="E2" i="3"/>
  <c r="D3" i="3"/>
  <c r="D4" i="3"/>
  <c r="D5" i="3"/>
  <c r="D6" i="3"/>
  <c r="D7" i="3"/>
  <c r="D2" i="3"/>
  <c r="C3" i="3"/>
  <c r="C4" i="3"/>
  <c r="C5" i="3"/>
  <c r="C6" i="3"/>
  <c r="C7" i="3"/>
  <c r="C2" i="3"/>
  <c r="B3" i="3"/>
  <c r="B4" i="3"/>
  <c r="B5" i="3"/>
  <c r="B6" i="3"/>
  <c r="B7" i="3"/>
  <c r="B2" i="3"/>
  <c r="M7" i="3"/>
  <c r="L7" i="3"/>
  <c r="M6" i="3"/>
  <c r="M5" i="3"/>
  <c r="M4" i="3"/>
  <c r="M3" i="3"/>
  <c r="K5" i="2"/>
  <c r="B5" i="2"/>
  <c r="E28" i="3" l="1"/>
  <c r="I28" i="3" s="1"/>
</calcChain>
</file>

<file path=xl/sharedStrings.xml><?xml version="1.0" encoding="utf-8"?>
<sst xmlns="http://schemas.openxmlformats.org/spreadsheetml/2006/main" count="2082" uniqueCount="184">
  <si>
    <t>番号</t>
    <rPh sb="0" eb="2">
      <t>バンゴウ</t>
    </rPh>
    <phoneticPr fontId="2"/>
  </si>
  <si>
    <t>債権者名</t>
    <rPh sb="0" eb="3">
      <t>サイケンシャ</t>
    </rPh>
    <rPh sb="3" eb="4">
      <t>メイ</t>
    </rPh>
    <phoneticPr fontId="2"/>
  </si>
  <si>
    <t>借入・購入等の日</t>
    <rPh sb="0" eb="2">
      <t>カリイレ</t>
    </rPh>
    <rPh sb="3" eb="5">
      <t>コウニュウ</t>
    </rPh>
    <rPh sb="5" eb="6">
      <t>トウ</t>
    </rPh>
    <rPh sb="7" eb="8">
      <t>ヒ</t>
    </rPh>
    <phoneticPr fontId="2"/>
  </si>
  <si>
    <t>調査票</t>
    <rPh sb="0" eb="3">
      <t>チョウサヒョウ</t>
    </rPh>
    <phoneticPr fontId="2"/>
  </si>
  <si>
    <t>意見</t>
    <rPh sb="0" eb="2">
      <t>イケン</t>
    </rPh>
    <phoneticPr fontId="2"/>
  </si>
  <si>
    <t>住　　　　所</t>
    <rPh sb="0" eb="1">
      <t>ジュウ</t>
    </rPh>
    <rPh sb="5" eb="6">
      <t>ショ</t>
    </rPh>
    <phoneticPr fontId="2"/>
  </si>
  <si>
    <t>使　　　途</t>
    <rPh sb="0" eb="1">
      <t>ツカ</t>
    </rPh>
    <rPh sb="4" eb="5">
      <t>ト</t>
    </rPh>
    <phoneticPr fontId="2"/>
  </si>
  <si>
    <t>備　　　考</t>
    <rPh sb="0" eb="1">
      <t>ソナエ</t>
    </rPh>
    <rPh sb="4" eb="5">
      <t>コウ</t>
    </rPh>
    <phoneticPr fontId="2"/>
  </si>
  <si>
    <t>円</t>
    <rPh sb="0" eb="1">
      <t>エン</t>
    </rPh>
    <phoneticPr fontId="2"/>
  </si>
  <si>
    <t>現在の債務額(円)</t>
    <rPh sb="0" eb="2">
      <t>ゲンザイ</t>
    </rPh>
    <rPh sb="3" eb="5">
      <t>サイム</t>
    </rPh>
    <rPh sb="5" eb="6">
      <t>ガク</t>
    </rPh>
    <rPh sb="7" eb="8">
      <t>エン</t>
    </rPh>
    <phoneticPr fontId="2"/>
  </si>
  <si>
    <t>債務総額　　</t>
    <rPh sb="0" eb="2">
      <t>サイム</t>
    </rPh>
    <rPh sb="2" eb="4">
      <t>ソウガク</t>
    </rPh>
    <phoneticPr fontId="2"/>
  </si>
  <si>
    <t>　　　　　　（うち住宅ローン</t>
    <rPh sb="9" eb="11">
      <t>ジュウタク</t>
    </rPh>
    <phoneticPr fontId="2"/>
  </si>
  <si>
    <t>円）</t>
    <rPh sb="0" eb="1">
      <t>エン</t>
    </rPh>
    <phoneticPr fontId="2"/>
  </si>
  <si>
    <t>，保証債務</t>
    <rPh sb="1" eb="3">
      <t>ホショウ</t>
    </rPh>
    <rPh sb="3" eb="5">
      <t>サイム</t>
    </rPh>
    <phoneticPr fontId="2"/>
  </si>
  <si>
    <t>〒</t>
    <phoneticPr fontId="2"/>
  </si>
  <si>
    <t>１　備考欄の記載方法</t>
    <rPh sb="2" eb="4">
      <t>ビコウ</t>
    </rPh>
    <rPh sb="4" eb="5">
      <t>ラン</t>
    </rPh>
    <rPh sb="6" eb="8">
      <t>キサイ</t>
    </rPh>
    <rPh sb="8" eb="10">
      <t>ホウホウ</t>
    </rPh>
    <phoneticPr fontId="2"/>
  </si>
  <si>
    <t>(1) 「債権者名」欄が個人の場合は，申立人との関係を記載して下さい。</t>
    <rPh sb="5" eb="8">
      <t>サイケンシャ</t>
    </rPh>
    <rPh sb="8" eb="9">
      <t>メイ</t>
    </rPh>
    <rPh sb="10" eb="11">
      <t>ラン</t>
    </rPh>
    <rPh sb="12" eb="14">
      <t>コジン</t>
    </rPh>
    <rPh sb="15" eb="17">
      <t>バアイ</t>
    </rPh>
    <rPh sb="19" eb="21">
      <t>モウシタテ</t>
    </rPh>
    <rPh sb="21" eb="22">
      <t>ニン</t>
    </rPh>
    <rPh sb="24" eb="26">
      <t>カンケイ</t>
    </rPh>
    <rPh sb="27" eb="29">
      <t>キサイ</t>
    </rPh>
    <rPh sb="31" eb="32">
      <t>クダ</t>
    </rPh>
    <phoneticPr fontId="2"/>
  </si>
  <si>
    <t>(2) 「使途」欄が，</t>
    <rPh sb="5" eb="7">
      <t>シト</t>
    </rPh>
    <rPh sb="8" eb="9">
      <t>ラン</t>
    </rPh>
    <phoneticPr fontId="2"/>
  </si>
  <si>
    <t>ア　「購入」の場合は，物品名，購入金額，購入日及びその物品の現状（自宅保管，質入れ，売却）を記載して下さい。</t>
    <rPh sb="3" eb="5">
      <t>コウニュウ</t>
    </rPh>
    <rPh sb="7" eb="9">
      <t>バアイ</t>
    </rPh>
    <rPh sb="11" eb="13">
      <t>ブッピン</t>
    </rPh>
    <rPh sb="13" eb="14">
      <t>メイ</t>
    </rPh>
    <rPh sb="15" eb="17">
      <t>コウニュウ</t>
    </rPh>
    <rPh sb="17" eb="19">
      <t>キンガク</t>
    </rPh>
    <rPh sb="20" eb="22">
      <t>コウニュウ</t>
    </rPh>
    <rPh sb="22" eb="23">
      <t>ビ</t>
    </rPh>
    <rPh sb="23" eb="24">
      <t>オヨ</t>
    </rPh>
    <rPh sb="27" eb="29">
      <t>ブッピン</t>
    </rPh>
    <rPh sb="30" eb="32">
      <t>ゲンジョウ</t>
    </rPh>
    <rPh sb="33" eb="35">
      <t>ジタク</t>
    </rPh>
    <rPh sb="35" eb="37">
      <t>ホカン</t>
    </rPh>
    <rPh sb="38" eb="40">
      <t>シチイ</t>
    </rPh>
    <rPh sb="42" eb="44">
      <t>バイキャク</t>
    </rPh>
    <rPh sb="46" eb="48">
      <t>キサイ</t>
    </rPh>
    <rPh sb="50" eb="51">
      <t>クダ</t>
    </rPh>
    <phoneticPr fontId="2"/>
  </si>
  <si>
    <t>　　また，所有権留保の場合は，「備考」欄に「所有権留保付○○返還済」，「所有権留保付○○売却済・売却先○○㈱」と記載して下さい。</t>
    <rPh sb="5" eb="8">
      <t>ショユウケン</t>
    </rPh>
    <rPh sb="8" eb="10">
      <t>リュウホ</t>
    </rPh>
    <rPh sb="11" eb="13">
      <t>バアイ</t>
    </rPh>
    <rPh sb="16" eb="18">
      <t>ビコウ</t>
    </rPh>
    <rPh sb="19" eb="20">
      <t>ラン</t>
    </rPh>
    <rPh sb="22" eb="25">
      <t>ショユウケン</t>
    </rPh>
    <rPh sb="25" eb="27">
      <t>リュウホ</t>
    </rPh>
    <rPh sb="27" eb="28">
      <t>ツキ</t>
    </rPh>
    <rPh sb="30" eb="32">
      <t>ヘンカン</t>
    </rPh>
    <rPh sb="32" eb="33">
      <t>ズミ</t>
    </rPh>
    <rPh sb="36" eb="39">
      <t>ショユウケン</t>
    </rPh>
    <rPh sb="39" eb="41">
      <t>リュウホ</t>
    </rPh>
    <rPh sb="41" eb="42">
      <t>ツキ</t>
    </rPh>
    <rPh sb="44" eb="46">
      <t>バイキャク</t>
    </rPh>
    <rPh sb="46" eb="47">
      <t>ズミ</t>
    </rPh>
    <rPh sb="48" eb="50">
      <t>バイキャク</t>
    </rPh>
    <rPh sb="50" eb="51">
      <t>サキ</t>
    </rPh>
    <rPh sb="56" eb="58">
      <t>キサイ</t>
    </rPh>
    <rPh sb="60" eb="61">
      <t>クダ</t>
    </rPh>
    <phoneticPr fontId="2"/>
  </si>
  <si>
    <t>イ　「保証」の場合は,主債務者名を，申立人との関係とともに記載する。</t>
    <rPh sb="3" eb="5">
      <t>ホショウ</t>
    </rPh>
    <rPh sb="7" eb="9">
      <t>バアイ</t>
    </rPh>
    <rPh sb="11" eb="12">
      <t>シュ</t>
    </rPh>
    <rPh sb="12" eb="15">
      <t>サイムシャ</t>
    </rPh>
    <rPh sb="15" eb="16">
      <t>メイ</t>
    </rPh>
    <rPh sb="18" eb="20">
      <t>モウシタテ</t>
    </rPh>
    <rPh sb="20" eb="21">
      <t>ニン</t>
    </rPh>
    <rPh sb="23" eb="25">
      <t>カンケイ</t>
    </rPh>
    <rPh sb="29" eb="31">
      <t>キサイ</t>
    </rPh>
    <phoneticPr fontId="2"/>
  </si>
  <si>
    <t>ウ　「その他」の場合は,具体的内容を記載して下さい。</t>
    <rPh sb="5" eb="6">
      <t>タ</t>
    </rPh>
    <rPh sb="8" eb="10">
      <t>バアイ</t>
    </rPh>
    <rPh sb="12" eb="15">
      <t>グタイテキ</t>
    </rPh>
    <rPh sb="15" eb="17">
      <t>ナイヨウ</t>
    </rPh>
    <rPh sb="18" eb="20">
      <t>キサイ</t>
    </rPh>
    <rPh sb="22" eb="23">
      <t>クダ</t>
    </rPh>
    <phoneticPr fontId="2"/>
  </si>
  <si>
    <t xml:space="preserve">２　下記金額欄の住宅ローン及び保証債務の金額が「0円」でも「0」の記載をして下さい。 </t>
    <rPh sb="2" eb="4">
      <t>カキ</t>
    </rPh>
    <rPh sb="4" eb="7">
      <t>キンガクラン</t>
    </rPh>
    <rPh sb="8" eb="10">
      <t>ジュウタク</t>
    </rPh>
    <rPh sb="13" eb="14">
      <t>オヨ</t>
    </rPh>
    <rPh sb="15" eb="17">
      <t>ホショウ</t>
    </rPh>
    <rPh sb="17" eb="19">
      <t>サイム</t>
    </rPh>
    <rPh sb="20" eb="22">
      <t>キンガク</t>
    </rPh>
    <rPh sb="25" eb="26">
      <t>エン</t>
    </rPh>
    <rPh sb="33" eb="35">
      <t>キサイ</t>
    </rPh>
    <rPh sb="38" eb="39">
      <t>クダ</t>
    </rPh>
    <phoneticPr fontId="2"/>
  </si>
  <si>
    <t xml:space="preserve">３　備考欄右横の調査票欄は，債権調査票のみでなく債権残高を示す資料があれば，「有」にチェックして下さい。 </t>
    <rPh sb="2" eb="5">
      <t>ビコウラン</t>
    </rPh>
    <rPh sb="5" eb="7">
      <t>ミギヨコ</t>
    </rPh>
    <rPh sb="8" eb="11">
      <t>チョウサヒョウ</t>
    </rPh>
    <rPh sb="11" eb="12">
      <t>ラン</t>
    </rPh>
    <rPh sb="14" eb="16">
      <t>サイケン</t>
    </rPh>
    <rPh sb="16" eb="19">
      <t>チョウサヒョウ</t>
    </rPh>
    <rPh sb="24" eb="26">
      <t>サイケン</t>
    </rPh>
    <rPh sb="26" eb="28">
      <t>ザンダカ</t>
    </rPh>
    <rPh sb="29" eb="30">
      <t>シメ</t>
    </rPh>
    <rPh sb="31" eb="33">
      <t>シリョウ</t>
    </rPh>
    <rPh sb="39" eb="40">
      <t>ア</t>
    </rPh>
    <rPh sb="48" eb="49">
      <t>クダ</t>
    </rPh>
    <phoneticPr fontId="2"/>
  </si>
  <si>
    <t>裁判所</t>
    <rPh sb="0" eb="3">
      <t>サイバンショ</t>
    </rPh>
    <phoneticPr fontId="13"/>
  </si>
  <si>
    <t>事件番号</t>
    <rPh sb="0" eb="2">
      <t>ジケン</t>
    </rPh>
    <rPh sb="2" eb="4">
      <t>バンゴウ</t>
    </rPh>
    <phoneticPr fontId="13"/>
  </si>
  <si>
    <t>FAX番号</t>
    <rPh sb="3" eb="5">
      <t>バンゴウ</t>
    </rPh>
    <phoneticPr fontId="13"/>
  </si>
  <si>
    <t>携帯</t>
    <rPh sb="0" eb="2">
      <t>ケイタイ</t>
    </rPh>
    <phoneticPr fontId="13"/>
  </si>
  <si>
    <t>債務者名</t>
    <rPh sb="0" eb="3">
      <t>サイムシャ</t>
    </rPh>
    <rPh sb="3" eb="4">
      <t>ナ</t>
    </rPh>
    <phoneticPr fontId="13"/>
  </si>
  <si>
    <t>借入</t>
    <rPh sb="0" eb="1">
      <t>カ</t>
    </rPh>
    <rPh sb="1" eb="2">
      <t>イ</t>
    </rPh>
    <phoneticPr fontId="13"/>
  </si>
  <si>
    <t>債権者数</t>
    <rPh sb="0" eb="3">
      <t>サイケンシャ</t>
    </rPh>
    <rPh sb="3" eb="4">
      <t>スウ</t>
    </rPh>
    <phoneticPr fontId="13"/>
  </si>
  <si>
    <t>黄色部分以外には何も入力しないでください</t>
    <rPh sb="0" eb="2">
      <t>キイロ</t>
    </rPh>
    <rPh sb="2" eb="4">
      <t>ブブン</t>
    </rPh>
    <rPh sb="4" eb="6">
      <t>イガイ</t>
    </rPh>
    <rPh sb="8" eb="9">
      <t>ナニ</t>
    </rPh>
    <rPh sb="10" eb="12">
      <t>ニュウリョク</t>
    </rPh>
    <phoneticPr fontId="13"/>
  </si>
  <si>
    <t>計画弁済総額</t>
    <rPh sb="0" eb="2">
      <t>ケイカク</t>
    </rPh>
    <rPh sb="2" eb="4">
      <t>ベンサイ</t>
    </rPh>
    <rPh sb="4" eb="6">
      <t>ソウガク</t>
    </rPh>
    <phoneticPr fontId="13"/>
  </si>
  <si>
    <t>物販</t>
    <rPh sb="0" eb="2">
      <t>ブッパン</t>
    </rPh>
    <phoneticPr fontId="13"/>
  </si>
  <si>
    <t>債務額</t>
    <rPh sb="0" eb="2">
      <t>サイム</t>
    </rPh>
    <rPh sb="2" eb="3">
      <t>ガク</t>
    </rPh>
    <phoneticPr fontId="13"/>
  </si>
  <si>
    <t>濃い色の部分は基本的に変更できません（債権者４０社まで対応しています）</t>
    <rPh sb="0" eb="1">
      <t>コ</t>
    </rPh>
    <rPh sb="2" eb="3">
      <t>イロ</t>
    </rPh>
    <rPh sb="4" eb="6">
      <t>ブブン</t>
    </rPh>
    <rPh sb="7" eb="10">
      <t>キホンテキ</t>
    </rPh>
    <rPh sb="11" eb="13">
      <t>ヘンコウ</t>
    </rPh>
    <rPh sb="19" eb="22">
      <t>サイケンシャ</t>
    </rPh>
    <rPh sb="24" eb="25">
      <t>シャ</t>
    </rPh>
    <rPh sb="27" eb="29">
      <t>タイオウ</t>
    </rPh>
    <phoneticPr fontId="13"/>
  </si>
  <si>
    <t>実弁済</t>
    <rPh sb="0" eb="1">
      <t>ジツ</t>
    </rPh>
    <rPh sb="1" eb="3">
      <t>ベンサイ</t>
    </rPh>
    <phoneticPr fontId="13"/>
  </si>
  <si>
    <t>保証</t>
    <rPh sb="0" eb="2">
      <t>ホショウ</t>
    </rPh>
    <phoneticPr fontId="13"/>
  </si>
  <si>
    <t>空白部分には［スペース］を入力しておくと，表が崩れません。</t>
    <rPh sb="0" eb="2">
      <t>クウハク</t>
    </rPh>
    <rPh sb="2" eb="4">
      <t>ブブン</t>
    </rPh>
    <rPh sb="13" eb="15">
      <t>ニュウリョク</t>
    </rPh>
    <rPh sb="21" eb="22">
      <t>ヒョウ</t>
    </rPh>
    <rPh sb="23" eb="24">
      <t>クズ</t>
    </rPh>
    <phoneticPr fontId="13"/>
  </si>
  <si>
    <t>その他</t>
    <rPh sb="2" eb="3">
      <t>タ</t>
    </rPh>
    <phoneticPr fontId="13"/>
  </si>
  <si>
    <t>債権者番号</t>
  </si>
  <si>
    <t>債権者の氏名又は会社名</t>
  </si>
  <si>
    <t>敬称</t>
  </si>
  <si>
    <t>郵便
番号</t>
  </si>
  <si>
    <t>住　　　　　　所</t>
  </si>
  <si>
    <t>会員番号</t>
    <rPh sb="0" eb="2">
      <t>カイイン</t>
    </rPh>
    <rPh sb="2" eb="4">
      <t>バンゴウ</t>
    </rPh>
    <phoneticPr fontId="13"/>
  </si>
  <si>
    <t>電話番号</t>
  </si>
  <si>
    <t>ＦＡＸ番号</t>
  </si>
  <si>
    <t>担当者名</t>
    <rPh sb="0" eb="3">
      <t>タントウシャ</t>
    </rPh>
    <rPh sb="3" eb="4">
      <t>ナ</t>
    </rPh>
    <phoneticPr fontId="13"/>
  </si>
  <si>
    <t>請求額</t>
    <rPh sb="0" eb="3">
      <t>セイキュウガク</t>
    </rPh>
    <phoneticPr fontId="13"/>
  </si>
  <si>
    <t>現在額</t>
  </si>
  <si>
    <t>原因</t>
    <rPh sb="0" eb="2">
      <t>ゲンイン</t>
    </rPh>
    <phoneticPr fontId="13"/>
  </si>
  <si>
    <t>持分比率</t>
    <rPh sb="0" eb="2">
      <t>モチブン</t>
    </rPh>
    <rPh sb="2" eb="4">
      <t>ヒリツ</t>
    </rPh>
    <phoneticPr fontId="13"/>
  </si>
  <si>
    <t>初回借入日</t>
    <rPh sb="0" eb="2">
      <t>ショカイ</t>
    </rPh>
    <rPh sb="2" eb="5">
      <t>カリイレビ</t>
    </rPh>
    <phoneticPr fontId="13"/>
  </si>
  <si>
    <t>最終取引日</t>
    <rPh sb="0" eb="2">
      <t>サイシュウ</t>
    </rPh>
    <rPh sb="2" eb="5">
      <t>トリヒキビ</t>
    </rPh>
    <phoneticPr fontId="13"/>
  </si>
  <si>
    <t>住宅ローン</t>
    <rPh sb="0" eb="2">
      <t>ジュウタク</t>
    </rPh>
    <phoneticPr fontId="13"/>
  </si>
  <si>
    <t>購入</t>
    <rPh sb="0" eb="2">
      <t>コウニュウ</t>
    </rPh>
    <phoneticPr fontId="13"/>
  </si>
  <si>
    <t>生活費</t>
    <rPh sb="0" eb="3">
      <t>セイカツヒ</t>
    </rPh>
    <phoneticPr fontId="13"/>
  </si>
  <si>
    <t>返済</t>
    <rPh sb="0" eb="2">
      <t>ヘンサイ</t>
    </rPh>
    <phoneticPr fontId="13"/>
  </si>
  <si>
    <t>飲食交際遊興費</t>
    <rPh sb="0" eb="2">
      <t>インショク</t>
    </rPh>
    <rPh sb="2" eb="4">
      <t>コウサイ</t>
    </rPh>
    <rPh sb="4" eb="7">
      <t>ユウキョウヒ</t>
    </rPh>
    <phoneticPr fontId="13"/>
  </si>
  <si>
    <t>備考</t>
    <rPh sb="0" eb="2">
      <t>ビコウ</t>
    </rPh>
    <phoneticPr fontId="13"/>
  </si>
  <si>
    <t>調査票</t>
    <rPh sb="0" eb="3">
      <t>チョウサヒョウ</t>
    </rPh>
    <phoneticPr fontId="13"/>
  </si>
  <si>
    <t>意見</t>
    <rPh sb="0" eb="2">
      <t>イケン</t>
    </rPh>
    <phoneticPr fontId="13"/>
  </si>
  <si>
    <t>□</t>
  </si>
  <si>
    <t>　</t>
    <phoneticPr fontId="13"/>
  </si>
  <si>
    <t>□</t>
    <phoneticPr fontId="13"/>
  </si>
  <si>
    <t>円</t>
    <phoneticPr fontId="2"/>
  </si>
  <si>
    <t>債権者数　</t>
    <rPh sb="0" eb="3">
      <t>サイケンシャ</t>
    </rPh>
    <rPh sb="3" eb="4">
      <t>スウ</t>
    </rPh>
    <phoneticPr fontId="2"/>
  </si>
  <si>
    <t>住宅ローンと保証債務を除いた額</t>
    <rPh sb="0" eb="2">
      <t>ジュウタク</t>
    </rPh>
    <rPh sb="6" eb="8">
      <t>ホショウ</t>
    </rPh>
    <rPh sb="8" eb="10">
      <t>サイム</t>
    </rPh>
    <rPh sb="11" eb="12">
      <t>ノゾ</t>
    </rPh>
    <rPh sb="14" eb="15">
      <t>ガク</t>
    </rPh>
    <phoneticPr fontId="2"/>
  </si>
  <si>
    <t>御中</t>
  </si>
  <si>
    <t>滋賀県草津市西大路町１－１</t>
  </si>
  <si>
    <t>１６３－８５０６</t>
  </si>
  <si>
    <t>０３－６６７０－６９５１</t>
  </si>
  <si>
    <t>０３－３３４８－５８９７</t>
  </si>
  <si>
    <t>　</t>
  </si>
  <si>
    <t>☑</t>
    <phoneticPr fontId="2"/>
  </si>
  <si>
    <t xml:space="preserve">H/R . . </t>
    <phoneticPr fontId="2"/>
  </si>
  <si>
    <t xml:space="preserve"> </t>
    <phoneticPr fontId="2"/>
  </si>
  <si>
    <t>パルティール債権回収株式会社　代理人弁護士法人引田法律事務所　弁護士　引田紀之</t>
    <rPh sb="15" eb="18">
      <t>ダイリニン</t>
    </rPh>
    <rPh sb="18" eb="21">
      <t>ベンゴシ</t>
    </rPh>
    <rPh sb="21" eb="23">
      <t>ホウジン</t>
    </rPh>
    <rPh sb="23" eb="25">
      <t>ヒキダ</t>
    </rPh>
    <rPh sb="25" eb="30">
      <t>ホウリツジムショ</t>
    </rPh>
    <rPh sb="31" eb="34">
      <t>ベンゴシ</t>
    </rPh>
    <rPh sb="35" eb="37">
      <t>ヒキダ</t>
    </rPh>
    <rPh sb="37" eb="39">
      <t>ノリユキ</t>
    </rPh>
    <phoneticPr fontId="2"/>
  </si>
  <si>
    <t>先生</t>
    <rPh sb="0" eb="2">
      <t>センセイ</t>
    </rPh>
    <phoneticPr fontId="2"/>
  </si>
  <si>
    <t>１０３－００１６</t>
    <phoneticPr fontId="2"/>
  </si>
  <si>
    <t>東京都中央区日本橋小網町６－７　第２山万ビル３階</t>
    <rPh sb="0" eb="12">
      <t>103-0016</t>
    </rPh>
    <rPh sb="16" eb="17">
      <t>ダイ</t>
    </rPh>
    <rPh sb="18" eb="20">
      <t>ヤママン</t>
    </rPh>
    <rPh sb="23" eb="24">
      <t>カイ</t>
    </rPh>
    <phoneticPr fontId="2"/>
  </si>
  <si>
    <t>RCK06-06365</t>
    <phoneticPr fontId="2"/>
  </si>
  <si>
    <t>０３－６６２９－２９９２</t>
    <phoneticPr fontId="2"/>
  </si>
  <si>
    <t>０３－６７３０－５９５９</t>
    <phoneticPr fontId="2"/>
  </si>
  <si>
    <t>1,2</t>
    <phoneticPr fontId="2"/>
  </si>
  <si>
    <t>原債権者楽天カード株式会社債権譲渡　大阪簡裁令和５年（ハ）第８０１５４号確定判決</t>
    <rPh sb="36" eb="40">
      <t>カクテイハンケツ</t>
    </rPh>
    <phoneticPr fontId="2"/>
  </si>
  <si>
    <t>ＧＭＯペイメントサービス株式会社　管理課</t>
    <rPh sb="17" eb="20">
      <t>カンリカ</t>
    </rPh>
    <phoneticPr fontId="2"/>
  </si>
  <si>
    <t>１５０－００４３</t>
  </si>
  <si>
    <t>東京都渋谷区道玄坂１－１４－６　ヒューマックス渋谷ビル</t>
  </si>
  <si>
    <t>０５０－３７３７－５１７９</t>
    <phoneticPr fontId="2"/>
  </si>
  <si>
    <t>2</t>
    <phoneticPr fontId="2"/>
  </si>
  <si>
    <t>服</t>
    <rPh sb="0" eb="1">
      <t>フク</t>
    </rPh>
    <phoneticPr fontId="2"/>
  </si>
  <si>
    <t>株式会社メルペイ　代理人ＮＴＳ総合弁護士法人　福岡事務所　メルペイ担当</t>
    <rPh sb="9" eb="12">
      <t>ダイリニン</t>
    </rPh>
    <rPh sb="15" eb="17">
      <t>ソウゴウ</t>
    </rPh>
    <rPh sb="17" eb="22">
      <t>ベンゴシホウジン</t>
    </rPh>
    <rPh sb="23" eb="25">
      <t>フクオカ</t>
    </rPh>
    <rPh sb="25" eb="28">
      <t>ジムショ</t>
    </rPh>
    <rPh sb="33" eb="35">
      <t>タントウ</t>
    </rPh>
    <phoneticPr fontId="2"/>
  </si>
  <si>
    <t>８１２－００３９</t>
    <phoneticPr fontId="2"/>
  </si>
  <si>
    <t>福岡県福岡市博多区冷泉町５－２３　オーシャン博多ビル６階</t>
    <rPh sb="0" eb="12">
      <t>812-0039</t>
    </rPh>
    <phoneticPr fontId="2"/>
  </si>
  <si>
    <t>０９２－３０３－３４５２</t>
    <phoneticPr fontId="2"/>
  </si>
  <si>
    <t>０９２－２９１－０２２０</t>
    <phoneticPr fontId="2"/>
  </si>
  <si>
    <t>2</t>
  </si>
  <si>
    <t>☑</t>
  </si>
  <si>
    <t>株式会社Ｐａｉｄｙ　Collection team</t>
    <rPh sb="0" eb="4">
      <t>カブシキガイシャ</t>
    </rPh>
    <phoneticPr fontId="2"/>
  </si>
  <si>
    <t>１０７－６２１２</t>
  </si>
  <si>
    <t>東京都港区赤坂９－７－１　ミッドタウンタワー１２階</t>
    <rPh sb="0" eb="3">
      <t>トウキョウト</t>
    </rPh>
    <rPh sb="3" eb="5">
      <t>ミナトク</t>
    </rPh>
    <rPh sb="5" eb="7">
      <t>アカサカ</t>
    </rPh>
    <rPh sb="24" eb="25">
      <t>カイ</t>
    </rPh>
    <phoneticPr fontId="2"/>
  </si>
  <si>
    <t>０３－５５４４－８７１７</t>
  </si>
  <si>
    <t>０３－５５４５－５９７６</t>
  </si>
  <si>
    <t>株式会社ネットプロテクションズ　BtoCサービス&amp;プロダクトグループ</t>
    <phoneticPr fontId="2"/>
  </si>
  <si>
    <t>１０２－００８３</t>
  </si>
  <si>
    <t>東京都千代田区麹町４－２－６　住友不動産麹町ファーストビル５階</t>
    <rPh sb="0" eb="9">
      <t>102-0083</t>
    </rPh>
    <rPh sb="15" eb="20">
      <t>スミトモフドウサン</t>
    </rPh>
    <rPh sb="20" eb="22">
      <t>コウジマチ</t>
    </rPh>
    <rPh sb="30" eb="31">
      <t>カイ</t>
    </rPh>
    <phoneticPr fontId="2"/>
  </si>
  <si>
    <t>０３－５１５９－７８８５</t>
  </si>
  <si>
    <t>０３－５１５９－７８９２</t>
  </si>
  <si>
    <t>靴</t>
  </si>
  <si>
    <t>ＡＧペイメントサービス株式会社</t>
    <phoneticPr fontId="2"/>
  </si>
  <si>
    <t>５２５－８５３１</t>
  </si>
  <si>
    <t>滋賀県草津市西大路町１番１号</t>
  </si>
  <si>
    <t>０００３７４８１４８８ほか</t>
    <phoneticPr fontId="2"/>
  </si>
  <si>
    <t>０７７－５０２－００５０</t>
    <phoneticPr fontId="2"/>
  </si>
  <si>
    <t>０７７－５０２－００５１</t>
    <phoneticPr fontId="2"/>
  </si>
  <si>
    <t>オリンポス債権回収株式会社　サービシング事業部　管理課４課</t>
    <rPh sb="5" eb="7">
      <t>サイケン</t>
    </rPh>
    <rPh sb="7" eb="9">
      <t>カイシュウ</t>
    </rPh>
    <rPh sb="9" eb="13">
      <t>カブシキガイシャ</t>
    </rPh>
    <rPh sb="20" eb="23">
      <t>ジギョウブ</t>
    </rPh>
    <rPh sb="24" eb="26">
      <t>カンリ</t>
    </rPh>
    <rPh sb="26" eb="27">
      <t>カ</t>
    </rPh>
    <rPh sb="28" eb="29">
      <t>カ</t>
    </rPh>
    <phoneticPr fontId="2"/>
  </si>
  <si>
    <t>０６２－００２０</t>
    <phoneticPr fontId="2"/>
  </si>
  <si>
    <t>北海道札幌市豊平区月寒中央通７－６－２０　ＪＡ月寒中央ビル</t>
    <rPh sb="0" eb="14">
      <t>062-0020</t>
    </rPh>
    <rPh sb="23" eb="25">
      <t>ツキサム</t>
    </rPh>
    <rPh sb="25" eb="27">
      <t>チュウオウ</t>
    </rPh>
    <phoneticPr fontId="2"/>
  </si>
  <si>
    <t>8112-6428-707</t>
  </si>
  <si>
    <t>０１１－８０５－９９００</t>
    <phoneticPr fontId="2"/>
  </si>
  <si>
    <t>０１１－８５６－１８１２</t>
    <phoneticPr fontId="2"/>
  </si>
  <si>
    <t>六廣</t>
    <rPh sb="0" eb="1">
      <t>ロク</t>
    </rPh>
    <rPh sb="1" eb="2">
      <t>ヒロ</t>
    </rPh>
    <phoneticPr fontId="2"/>
  </si>
  <si>
    <t>福岡簡裁令和５年（ハ）第４１８１４号確定判決
原債権者ＰａｙＰａｙカード株式会社2025/8/27債権譲渡</t>
    <rPh sb="0" eb="2">
      <t>フクオカ</t>
    </rPh>
    <rPh sb="2" eb="4">
      <t>カンサイ</t>
    </rPh>
    <rPh sb="4" eb="6">
      <t>レイワ</t>
    </rPh>
    <rPh sb="7" eb="8">
      <t>ネン</t>
    </rPh>
    <rPh sb="11" eb="12">
      <t>ダイ</t>
    </rPh>
    <rPh sb="17" eb="18">
      <t>ゴウ</t>
    </rPh>
    <rPh sb="18" eb="22">
      <t>カクテイハンケツ</t>
    </rPh>
    <rPh sb="23" eb="24">
      <t>ハラ</t>
    </rPh>
    <rPh sb="24" eb="27">
      <t>サイケンシャ</t>
    </rPh>
    <rPh sb="49" eb="53">
      <t>サイケンジョウト</t>
    </rPh>
    <phoneticPr fontId="2"/>
  </si>
  <si>
    <t>アコム株式会社　債権管理部　東日本審査センター</t>
    <rPh sb="8" eb="10">
      <t>サイケン</t>
    </rPh>
    <rPh sb="10" eb="12">
      <t>カンリ</t>
    </rPh>
    <rPh sb="12" eb="13">
      <t>ブ</t>
    </rPh>
    <rPh sb="14" eb="15">
      <t>ヒガシ</t>
    </rPh>
    <rPh sb="15" eb="17">
      <t>ニホン</t>
    </rPh>
    <rPh sb="17" eb="19">
      <t>シンサ</t>
    </rPh>
    <phoneticPr fontId="2"/>
  </si>
  <si>
    <t>１０２－００７１</t>
  </si>
  <si>
    <t>東京都千代田区富士見２－１５－１１　ＡＣＯＭ富士見ビル</t>
    <phoneticPr fontId="2"/>
  </si>
  <si>
    <t>70943489
35382675</t>
  </si>
  <si>
    <t>０３－３２２２－２６６６</t>
  </si>
  <si>
    <t>０３－３２２２－２６６７</t>
  </si>
  <si>
    <t>１</t>
  </si>
  <si>
    <t>ニッテレ債権回収株式会社　福岡サービシングセンター</t>
    <rPh sb="4" eb="8">
      <t>サイケンカイシュウ</t>
    </rPh>
    <rPh sb="8" eb="12">
      <t>カブシキガイシャ</t>
    </rPh>
    <rPh sb="13" eb="15">
      <t>フクオカ</t>
    </rPh>
    <phoneticPr fontId="2"/>
  </si>
  <si>
    <t>８１２－００３９</t>
  </si>
  <si>
    <t>福岡県福岡市博多区冷泉町５－２３　オーシャン博多ビル５階</t>
    <rPh sb="0" eb="12">
      <t>812-0039</t>
    </rPh>
    <rPh sb="22" eb="24">
      <t>ハカタ</t>
    </rPh>
    <rPh sb="27" eb="28">
      <t>カイ</t>
    </rPh>
    <phoneticPr fontId="2"/>
  </si>
  <si>
    <t>５０９９６４９１－００</t>
  </si>
  <si>
    <t>０９２－２８３－２５７６</t>
  </si>
  <si>
    <t>原債権者株式会社みんなの銀行　2023/9/29債権譲渡</t>
    <rPh sb="0" eb="1">
      <t>ハラ</t>
    </rPh>
    <rPh sb="1" eb="4">
      <t>サイケンシャ</t>
    </rPh>
    <rPh sb="4" eb="8">
      <t>カブシキガイシャ</t>
    </rPh>
    <rPh sb="12" eb="14">
      <t>ギンコウ</t>
    </rPh>
    <rPh sb="24" eb="28">
      <t>サイケンジョウト</t>
    </rPh>
    <phoneticPr fontId="2"/>
  </si>
  <si>
    <t>ニッテレ債権回収株式会社　札幌サービシングセンター</t>
    <rPh sb="4" eb="8">
      <t>サイケンカイシュウ</t>
    </rPh>
    <rPh sb="8" eb="12">
      <t>カブシキガイシャ</t>
    </rPh>
    <rPh sb="13" eb="15">
      <t>サッポロ</t>
    </rPh>
    <phoneticPr fontId="2"/>
  </si>
  <si>
    <t>０６０－００３１</t>
  </si>
  <si>
    <t>北海道札幌市中央区北一条東１－２－５</t>
    <rPh sb="0" eb="13">
      <t>060-0031</t>
    </rPh>
    <phoneticPr fontId="2"/>
  </si>
  <si>
    <t>５０８６９０７６－００</t>
  </si>
  <si>
    <t>０１１ー２００－８２００</t>
  </si>
  <si>
    <t>０１１－２８１－７７５５</t>
  </si>
  <si>
    <t>原債権者LINEＣｒｅｄｉｔ株式会社2023/7/12債権譲渡</t>
  </si>
  <si>
    <t>株式会社ＳＣＯＲＥ</t>
  </si>
  <si>
    <t>６０１－８４１２</t>
  </si>
  <si>
    <t>京都府京都市南区西九条院町２６</t>
    <rPh sb="0" eb="13">
      <t>601-8412</t>
    </rPh>
    <phoneticPr fontId="2"/>
  </si>
  <si>
    <t>a0030510120038969581</t>
  </si>
  <si>
    <t>０７５－６８２－２３４６</t>
  </si>
  <si>
    <t>０３－４４６５－７１０９</t>
  </si>
  <si>
    <t>和田</t>
    <rPh sb="0" eb="2">
      <t>ワダ</t>
    </rPh>
    <phoneticPr fontId="2"/>
  </si>
  <si>
    <t>寝具、ヘッドホン</t>
    <rPh sb="0" eb="2">
      <t>シング</t>
    </rPh>
    <phoneticPr fontId="2"/>
  </si>
  <si>
    <t>ＡＧ債権回収株式会社　サービシング部</t>
    <rPh sb="2" eb="6">
      <t>サイケンカイシュウ</t>
    </rPh>
    <rPh sb="6" eb="10">
      <t>カブシキガイシャ</t>
    </rPh>
    <rPh sb="17" eb="18">
      <t>ブ</t>
    </rPh>
    <phoneticPr fontId="2"/>
  </si>
  <si>
    <t>５２５－００３７</t>
  </si>
  <si>
    <t>滋賀県草津市西大路町１－１</t>
    <rPh sb="0" eb="6">
      <t>シガケンクサツシ</t>
    </rPh>
    <rPh sb="6" eb="10">
      <t>ニシオオジチョウ</t>
    </rPh>
    <phoneticPr fontId="2"/>
  </si>
  <si>
    <t>００３５-１９８０２５７-００１</t>
  </si>
  <si>
    <t>０７７－５０３－０２０２</t>
  </si>
  <si>
    <t>０７７－５０３－０２０１</t>
  </si>
  <si>
    <t>高橋</t>
    <rPh sb="0" eb="2">
      <t>タカハシ</t>
    </rPh>
    <phoneticPr fontId="2"/>
  </si>
  <si>
    <t>アイフル株式会社R7.9.8債権譲渡</t>
    <rPh sb="4" eb="8">
      <t>カブシキガイシャ</t>
    </rPh>
    <rPh sb="14" eb="18">
      <t>サイケンジョウト</t>
    </rPh>
    <phoneticPr fontId="2"/>
  </si>
  <si>
    <t>ＫＤＤＩ株式会社　債権管理グループ　債務整理担当</t>
    <rPh sb="9" eb="11">
      <t>サイケン</t>
    </rPh>
    <rPh sb="11" eb="13">
      <t>カンリ</t>
    </rPh>
    <rPh sb="18" eb="22">
      <t>サイムセイリ</t>
    </rPh>
    <rPh sb="22" eb="24">
      <t>タントウ</t>
    </rPh>
    <phoneticPr fontId="2"/>
  </si>
  <si>
    <t>東京都新宿区西新宿２－３－２</t>
    <rPh sb="0" eb="3">
      <t>トウキョウト</t>
    </rPh>
    <rPh sb="3" eb="6">
      <t>シンジュクク</t>
    </rPh>
    <rPh sb="6" eb="9">
      <t>ニシシンジュク</t>
    </rPh>
    <phoneticPr fontId="2"/>
  </si>
  <si>
    <t>KD3-626059</t>
  </si>
  <si>
    <t>回答拒否のため、金額不明</t>
    <rPh sb="0" eb="4">
      <t>カイトウキョヒ</t>
    </rPh>
    <rPh sb="8" eb="10">
      <t>キンガク</t>
    </rPh>
    <rPh sb="10" eb="12">
      <t>フメイ</t>
    </rPh>
    <phoneticPr fontId="2"/>
  </si>
  <si>
    <t>ライフカード株式会社</t>
  </si>
  <si>
    <t>5368-7424-1</t>
  </si>
  <si>
    <t>０７７－５６９－３３２１</t>
  </si>
  <si>
    <t>０７７－５６９－３３１７</t>
  </si>
  <si>
    <t>アビリオ債権回収株式会社　東京第一事業部</t>
    <rPh sb="4" eb="8">
      <t>サイケンカイシュウ</t>
    </rPh>
    <rPh sb="8" eb="12">
      <t>カブシキガイシャ</t>
    </rPh>
    <rPh sb="13" eb="15">
      <t>トウキョウ</t>
    </rPh>
    <rPh sb="15" eb="17">
      <t>ダイイチ</t>
    </rPh>
    <rPh sb="17" eb="20">
      <t>ジギョウブ</t>
    </rPh>
    <phoneticPr fontId="2"/>
  </si>
  <si>
    <t>１３５－００６１</t>
  </si>
  <si>
    <t>東京都江東区豊洲３－２－２０　豊洲フロント６階</t>
    <rPh sb="0" eb="8">
      <t>135-0061</t>
    </rPh>
    <rPh sb="15" eb="17">
      <t>トヨス</t>
    </rPh>
    <rPh sb="22" eb="23">
      <t>カイ</t>
    </rPh>
    <phoneticPr fontId="2"/>
  </si>
  <si>
    <t>０１２０－０４－９２９２</t>
  </si>
  <si>
    <t>０３－６８４４－３０３１</t>
  </si>
  <si>
    <t xml:space="preserve">H/R . . </t>
  </si>
  <si>
    <t>三井住友カード株式会社2025/3/10債権譲渡</t>
    <rPh sb="0" eb="2">
      <t>ミツイ</t>
    </rPh>
    <rPh sb="2" eb="4">
      <t>スミトモ</t>
    </rPh>
    <rPh sb="7" eb="11">
      <t>カブシキガイシャ</t>
    </rPh>
    <rPh sb="20" eb="24">
      <t>サイケンジョウト</t>
    </rPh>
    <phoneticPr fontId="2"/>
  </si>
  <si>
    <t>大阪地方裁判所</t>
    <rPh sb="0" eb="2">
      <t>オオサカ</t>
    </rPh>
    <rPh sb="2" eb="4">
      <t>チホウ</t>
    </rPh>
    <rPh sb="4" eb="7">
      <t>サイバンショ</t>
    </rPh>
    <phoneticPr fontId="2"/>
  </si>
  <si>
    <t>令和６年（フ）第　　　　号</t>
    <rPh sb="0" eb="2">
      <t>レイワ</t>
    </rPh>
    <rPh sb="3" eb="4">
      <t>ネン</t>
    </rPh>
    <rPh sb="7" eb="8">
      <t>ダイ</t>
    </rPh>
    <rPh sb="12" eb="13">
      <t>ゴウ</t>
    </rPh>
    <phoneticPr fontId="2"/>
  </si>
  <si>
    <t>鎌田　久登</t>
    <rPh sb="0" eb="2">
      <t>カマダ</t>
    </rPh>
    <rPh sb="3" eb="5">
      <t>ヒサト</t>
    </rPh>
    <phoneticPr fontId="2"/>
  </si>
  <si>
    <t>５５３－００２２</t>
    <phoneticPr fontId="2"/>
  </si>
  <si>
    <t>大阪市東淀川区菅原７丁目５番３９号　ルネッサンスエレガンス６Ｃ</t>
    <phoneticPr fontId="2"/>
  </si>
  <si>
    <t>　</t>
    <phoneticPr fontId="2"/>
  </si>
  <si>
    <t>9-1</t>
    <phoneticPr fontId="2"/>
  </si>
  <si>
    <t>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</si>
</sst>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176" formatCode="#,##0;&quot;△ &quot;#,##0"/>
    <numFmt numFmtId="177" formatCode="&quot;¥&quot;#,##0_);[Red]\(&quot;¥&quot;#,##0\)"/>
    <numFmt numFmtId="178" formatCode="0_);[Red]\(0\)"/>
    <numFmt numFmtId="179" formatCode="&quot;¥&quot;#,##0;&quot;¥&quot;&quot;-&quot;#,##0"/>
  </numFmts>
  <fonts count="19" x14ac:knownFonts="1">
    <font>
      <sz val="12"/>
      <name val="ＭＳ 明朝"/>
      <family val="1"/>
      <charset val="128"/>
    </font>
    <font>
      <sz val="12"/>
      <name val="ＭＳ 明朝"/>
      <family val="1"/>
      <charset val="128"/>
    </font>
    <font>
      <sz val="6"/>
      <name val="ＭＳ 明朝"/>
      <family val="1"/>
      <charset val="128"/>
    </font>
    <font>
      <sz val="10"/>
      <name val="ＭＳ 明朝"/>
      <family val="1"/>
      <charset val="128"/>
    </font>
    <font>
      <sz val="8"/>
      <name val="ＭＳ 明朝"/>
      <family val="1"/>
      <charset val="128"/>
    </font>
    <font>
      <sz val="12"/>
      <name val="ＭＳ ゴシック"/>
      <family val="3"/>
      <charset val="128"/>
    </font>
    <font>
      <b/>
      <sz val="12"/>
      <name val="ＭＳ ゴシック"/>
      <family val="3"/>
      <charset val="128"/>
    </font>
    <font>
      <sz val="14"/>
      <name val="ＭＳ ゴシック"/>
      <family val="3"/>
      <charset val="128"/>
    </font>
    <font>
      <b/>
      <sz val="14"/>
      <name val="ＭＳ ゴシック"/>
      <family val="3"/>
      <charset val="128"/>
    </font>
    <font>
      <b/>
      <sz val="10"/>
      <name val="ＭＳ 明朝"/>
      <family val="1"/>
      <charset val="128"/>
    </font>
    <font>
      <sz val="10"/>
      <color indexed="8"/>
      <name val="ＭＳ 明朝"/>
      <family val="1"/>
      <charset val="128"/>
    </font>
    <font>
      <b/>
      <sz val="10"/>
      <color indexed="8"/>
      <name val="ＭＳ 明朝"/>
      <family val="1"/>
      <charset val="128"/>
    </font>
    <font>
      <sz val="11"/>
      <name val="ＭＳ Ｐゴシック"/>
      <family val="3"/>
      <charset val="128"/>
    </font>
    <font>
      <sz val="6"/>
      <name val="ＭＳ Ｐゴシック"/>
      <family val="3"/>
      <charset val="128"/>
    </font>
    <font>
      <sz val="8"/>
      <color indexed="10"/>
      <name val="ＭＳ Ｐゴシック"/>
      <family val="3"/>
      <charset val="128"/>
    </font>
    <font>
      <sz val="11"/>
      <color indexed="8"/>
      <name val="ＭＳ Ｐ明朝"/>
      <family val="1"/>
      <charset val="128"/>
    </font>
    <font>
      <sz val="11"/>
      <name val="ＭＳ 明朝"/>
      <family val="1"/>
      <charset val="128"/>
    </font>
    <font>
      <sz val="10"/>
      <name val="ＭＳ ゴシック"/>
      <family val="3"/>
      <charset val="128"/>
    </font>
    <font>
      <sz val="9"/>
      <name val="ＭＳ 明朝"/>
      <family val="1"/>
      <charset val="128"/>
    </font>
  </fonts>
  <fills count="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5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alignment vertical="center"/>
    </xf>
    <xf numFmtId="0" fontId="1" fillId="0" borderId="0">
      <alignment vertical="center"/>
    </xf>
    <xf numFmtId="0" fontId="12" fillId="0" borderId="0"/>
    <xf numFmtId="6" fontId="12" fillId="0" borderId="0" applyFont="0" applyFill="0" applyBorder="0" applyAlignment="0" applyProtection="0"/>
    <xf numFmtId="0" fontId="1" fillId="0" borderId="0">
      <alignment vertical="center"/>
    </xf>
  </cellStyleXfs>
  <cellXfs count="112">
    <xf numFmtId="0" fontId="0" fillId="0" borderId="0" xfId="0">
      <alignment vertical="center"/>
    </xf>
    <xf numFmtId="49" fontId="3" fillId="0" borderId="0" xfId="1" applyNumberFormat="1" applyFont="1">
      <alignment vertical="center"/>
    </xf>
    <xf numFmtId="49" fontId="10" fillId="0" borderId="0" xfId="1" applyNumberFormat="1" applyFont="1">
      <alignment vertical="center"/>
    </xf>
    <xf numFmtId="0" fontId="3" fillId="0" borderId="0" xfId="1" applyFont="1">
      <alignment vertical="center"/>
    </xf>
    <xf numFmtId="0" fontId="3" fillId="0" borderId="0" xfId="1" applyFont="1" applyAlignment="1">
      <alignment horizontal="left" vertical="center" indent="1"/>
    </xf>
    <xf numFmtId="0" fontId="12" fillId="2" borderId="0" xfId="2" applyFill="1" applyAlignment="1">
      <alignment horizontal="center"/>
    </xf>
    <xf numFmtId="0" fontId="12" fillId="3" borderId="10" xfId="2" applyFill="1" applyBorder="1" applyAlignment="1" applyProtection="1">
      <alignment wrapText="1"/>
      <protection locked="0"/>
    </xf>
    <xf numFmtId="0" fontId="12" fillId="0" borderId="0" xfId="2" applyProtection="1">
      <protection locked="0"/>
    </xf>
    <xf numFmtId="0" fontId="12" fillId="2" borderId="0" xfId="2" applyFill="1"/>
    <xf numFmtId="0" fontId="12" fillId="3" borderId="0" xfId="2" applyFill="1" applyAlignment="1" applyProtection="1">
      <alignment wrapText="1"/>
      <protection locked="0"/>
    </xf>
    <xf numFmtId="0" fontId="12" fillId="0" borderId="0" xfId="2" applyAlignment="1" applyProtection="1">
      <alignment horizontal="center"/>
      <protection locked="0"/>
    </xf>
    <xf numFmtId="6" fontId="0" fillId="0" borderId="0" xfId="3" applyFont="1" applyAlignment="1" applyProtection="1">
      <alignment horizontal="center"/>
      <protection locked="0"/>
    </xf>
    <xf numFmtId="6" fontId="12" fillId="0" borderId="0" xfId="3" applyAlignment="1" applyProtection="1">
      <alignment horizontal="center" vertical="center"/>
      <protection locked="0"/>
    </xf>
    <xf numFmtId="49" fontId="12" fillId="0" borderId="0" xfId="2" applyNumberFormat="1" applyAlignment="1" applyProtection="1">
      <alignment horizontal="center"/>
      <protection locked="0"/>
    </xf>
    <xf numFmtId="0" fontId="12" fillId="3" borderId="10" xfId="2" applyFill="1" applyBorder="1" applyProtection="1">
      <protection locked="0"/>
    </xf>
    <xf numFmtId="49" fontId="12" fillId="3" borderId="10" xfId="2" applyNumberFormat="1" applyFill="1" applyBorder="1" applyAlignment="1" applyProtection="1">
      <alignment wrapText="1"/>
      <protection locked="0"/>
    </xf>
    <xf numFmtId="58" fontId="12" fillId="3" borderId="10" xfId="2" applyNumberFormat="1" applyFill="1" applyBorder="1" applyAlignment="1" applyProtection="1">
      <alignment wrapText="1"/>
      <protection locked="0"/>
    </xf>
    <xf numFmtId="6" fontId="0" fillId="0" borderId="0" xfId="3" applyFont="1" applyProtection="1">
      <protection locked="0"/>
    </xf>
    <xf numFmtId="6" fontId="12" fillId="0" borderId="0" xfId="3" applyAlignment="1" applyProtection="1">
      <alignment vertical="center"/>
      <protection locked="0"/>
    </xf>
    <xf numFmtId="0" fontId="4" fillId="0" borderId="0" xfId="4" applyFont="1" applyAlignment="1">
      <alignment vertical="center" wrapText="1"/>
    </xf>
    <xf numFmtId="0" fontId="12" fillId="0" borderId="0" xfId="2" applyAlignment="1" applyProtection="1">
      <alignment wrapText="1"/>
      <protection locked="0"/>
    </xf>
    <xf numFmtId="49" fontId="12" fillId="0" borderId="0" xfId="2" applyNumberFormat="1" applyAlignment="1" applyProtection="1">
      <alignment wrapText="1"/>
      <protection locked="0"/>
    </xf>
    <xf numFmtId="49" fontId="12" fillId="2" borderId="0" xfId="2" applyNumberFormat="1" applyFill="1" applyAlignment="1">
      <alignment horizontal="center"/>
    </xf>
    <xf numFmtId="0" fontId="14" fillId="0" borderId="0" xfId="2" applyFont="1" applyProtection="1">
      <protection locked="0"/>
    </xf>
    <xf numFmtId="49" fontId="14" fillId="0" borderId="0" xfId="2" applyNumberFormat="1" applyFont="1" applyProtection="1">
      <protection locked="0"/>
    </xf>
    <xf numFmtId="6" fontId="0" fillId="2" borderId="0" xfId="3" applyFont="1" applyFill="1" applyProtection="1"/>
    <xf numFmtId="6" fontId="12" fillId="3" borderId="0" xfId="3" applyFill="1" applyProtection="1">
      <protection locked="0"/>
    </xf>
    <xf numFmtId="177" fontId="12" fillId="4" borderId="0" xfId="2" applyNumberFormat="1" applyFill="1" applyAlignment="1" applyProtection="1">
      <alignment wrapText="1"/>
      <protection locked="0"/>
    </xf>
    <xf numFmtId="6" fontId="12" fillId="4" borderId="0" xfId="3" applyFill="1" applyAlignment="1" applyProtection="1">
      <alignment vertical="center"/>
      <protection locked="0"/>
    </xf>
    <xf numFmtId="178" fontId="15" fillId="0" borderId="0" xfId="2" applyNumberFormat="1" applyFont="1" applyProtection="1">
      <protection locked="0"/>
    </xf>
    <xf numFmtId="0" fontId="15" fillId="0" borderId="0" xfId="2" applyFont="1" applyAlignment="1" applyProtection="1">
      <alignment wrapText="1"/>
      <protection locked="0"/>
    </xf>
    <xf numFmtId="6" fontId="12" fillId="0" borderId="0" xfId="3" applyFont="1" applyAlignment="1" applyProtection="1">
      <alignment wrapText="1"/>
      <protection locked="0"/>
    </xf>
    <xf numFmtId="6" fontId="12" fillId="0" borderId="0" xfId="3" applyFont="1" applyProtection="1">
      <protection locked="0"/>
    </xf>
    <xf numFmtId="0" fontId="15" fillId="2" borderId="0" xfId="2" applyFont="1" applyFill="1"/>
    <xf numFmtId="179" fontId="15" fillId="0" borderId="0" xfId="2" applyNumberFormat="1" applyFont="1" applyAlignment="1" applyProtection="1">
      <alignment horizontal="center" vertical="center"/>
      <protection locked="0"/>
    </xf>
    <xf numFmtId="49" fontId="15" fillId="2" borderId="11" xfId="2" applyNumberFormat="1" applyFont="1" applyFill="1" applyBorder="1" applyAlignment="1">
      <alignment horizontal="center" vertical="center" wrapText="1"/>
    </xf>
    <xf numFmtId="0" fontId="15" fillId="2" borderId="11" xfId="2" applyFont="1" applyFill="1" applyBorder="1" applyAlignment="1">
      <alignment horizontal="center" vertical="center" wrapText="1"/>
    </xf>
    <xf numFmtId="179" fontId="15" fillId="2" borderId="11" xfId="2" applyNumberFormat="1" applyFont="1" applyFill="1" applyBorder="1" applyAlignment="1">
      <alignment horizontal="center" vertical="center" wrapText="1"/>
    </xf>
    <xf numFmtId="6" fontId="15" fillId="2" borderId="11" xfId="3" applyFont="1" applyFill="1" applyBorder="1" applyAlignment="1" applyProtection="1">
      <alignment horizontal="center" vertical="center" wrapText="1"/>
    </xf>
    <xf numFmtId="49" fontId="15" fillId="2" borderId="11" xfId="3" applyNumberFormat="1" applyFont="1" applyFill="1" applyBorder="1" applyAlignment="1" applyProtection="1">
      <alignment horizontal="center" vertical="center" wrapText="1"/>
    </xf>
    <xf numFmtId="0" fontId="15" fillId="2" borderId="0" xfId="2" applyFont="1" applyFill="1" applyAlignment="1">
      <alignment horizontal="center" vertical="center" wrapText="1"/>
    </xf>
    <xf numFmtId="178" fontId="15" fillId="3" borderId="1" xfId="2" applyNumberFormat="1" applyFont="1" applyFill="1" applyBorder="1" applyProtection="1">
      <protection locked="0"/>
    </xf>
    <xf numFmtId="0" fontId="12" fillId="3" borderId="1" xfId="2" applyFill="1" applyBorder="1" applyAlignment="1" applyProtection="1">
      <alignment vertical="center" wrapText="1"/>
      <protection locked="0"/>
    </xf>
    <xf numFmtId="49" fontId="12" fillId="3" borderId="1" xfId="2" applyNumberFormat="1" applyFill="1" applyBorder="1" applyAlignment="1" applyProtection="1">
      <alignment vertical="center" wrapText="1"/>
      <protection locked="0"/>
    </xf>
    <xf numFmtId="57" fontId="15" fillId="3" borderId="1" xfId="2" applyNumberFormat="1" applyFont="1" applyFill="1" applyBorder="1" applyProtection="1">
      <protection locked="0"/>
    </xf>
    <xf numFmtId="0" fontId="15" fillId="3" borderId="1" xfId="2" applyFont="1" applyFill="1" applyBorder="1" applyAlignment="1" applyProtection="1">
      <alignment horizontal="center" vertical="center"/>
      <protection locked="0"/>
    </xf>
    <xf numFmtId="0" fontId="12" fillId="0" borderId="0" xfId="2" applyAlignment="1" applyProtection="1">
      <alignment vertical="center" wrapText="1"/>
      <protection locked="0"/>
    </xf>
    <xf numFmtId="49" fontId="12" fillId="0" borderId="0" xfId="2" applyNumberFormat="1" applyProtection="1">
      <protection locked="0"/>
    </xf>
    <xf numFmtId="0" fontId="1" fillId="0" borderId="13" xfId="4" applyBorder="1" applyAlignment="1">
      <alignment horizontal="center" vertical="center" wrapText="1"/>
    </xf>
    <xf numFmtId="0" fontId="1" fillId="0" borderId="14" xfId="4" applyBorder="1" applyAlignment="1">
      <alignment horizontal="centerContinuous" vertical="center" wrapText="1"/>
    </xf>
    <xf numFmtId="0" fontId="1" fillId="0" borderId="15" xfId="4" applyBorder="1" applyAlignment="1">
      <alignment horizontal="centerContinuous" vertical="center" wrapText="1"/>
    </xf>
    <xf numFmtId="0" fontId="1" fillId="0" borderId="14" xfId="4" applyBorder="1" applyAlignment="1">
      <alignment horizontal="center" vertical="center" wrapText="1"/>
    </xf>
    <xf numFmtId="0" fontId="3" fillId="0" borderId="13" xfId="4" applyFont="1" applyBorder="1" applyAlignment="1">
      <alignment horizontal="center" vertical="center" wrapText="1"/>
    </xf>
    <xf numFmtId="0" fontId="3" fillId="0" borderId="16" xfId="4" applyFont="1" applyBorder="1" applyAlignment="1">
      <alignment horizontal="center" vertical="center" wrapText="1"/>
    </xf>
    <xf numFmtId="0" fontId="1" fillId="0" borderId="0" xfId="4" applyAlignment="1">
      <alignment horizontal="center" vertical="center" wrapText="1"/>
    </xf>
    <xf numFmtId="0" fontId="1" fillId="0" borderId="18" xfId="4" applyBorder="1">
      <alignment vertical="center"/>
    </xf>
    <xf numFmtId="57" fontId="1" fillId="0" borderId="2" xfId="4" applyNumberFormat="1" applyBorder="1" applyAlignment="1">
      <alignment horizontal="left" vertical="center" wrapText="1"/>
    </xf>
    <xf numFmtId="0" fontId="3" fillId="0" borderId="2" xfId="4" applyFont="1" applyBorder="1" applyAlignment="1">
      <alignment vertical="center" wrapText="1"/>
    </xf>
    <xf numFmtId="0" fontId="3" fillId="0" borderId="2" xfId="4" applyFont="1" applyBorder="1" applyAlignment="1">
      <alignment horizontal="center" vertical="center" wrapText="1"/>
    </xf>
    <xf numFmtId="0" fontId="3" fillId="0" borderId="19" xfId="4" applyFont="1" applyBorder="1" applyAlignment="1">
      <alignment horizontal="center" vertical="center" wrapText="1"/>
    </xf>
    <xf numFmtId="0" fontId="1" fillId="0" borderId="0" xfId="4">
      <alignment vertical="center"/>
    </xf>
    <xf numFmtId="0" fontId="1" fillId="0" borderId="0" xfId="2" applyFont="1"/>
    <xf numFmtId="0" fontId="1" fillId="0" borderId="23" xfId="4" applyBorder="1">
      <alignment vertical="center"/>
    </xf>
    <xf numFmtId="57" fontId="1" fillId="0" borderId="21" xfId="4" applyNumberFormat="1" applyBorder="1" applyAlignment="1">
      <alignment horizontal="left" vertical="center" wrapText="1"/>
    </xf>
    <xf numFmtId="0" fontId="3" fillId="0" borderId="21" xfId="4" applyFont="1" applyBorder="1" applyAlignment="1">
      <alignment vertical="center" wrapText="1"/>
    </xf>
    <xf numFmtId="0" fontId="3" fillId="0" borderId="21" xfId="4" applyFont="1" applyBorder="1" applyAlignment="1">
      <alignment horizontal="center" vertical="center" wrapText="1"/>
    </xf>
    <xf numFmtId="0" fontId="3" fillId="0" borderId="24" xfId="4" applyFont="1" applyBorder="1" applyAlignment="1">
      <alignment horizontal="center" vertical="center" wrapText="1"/>
    </xf>
    <xf numFmtId="0" fontId="1" fillId="0" borderId="0" xfId="4" applyAlignment="1">
      <alignment vertical="center" wrapText="1"/>
    </xf>
    <xf numFmtId="0" fontId="16" fillId="0" borderId="0" xfId="4" applyFont="1">
      <alignment vertical="center"/>
    </xf>
    <xf numFmtId="57" fontId="1" fillId="0" borderId="0" xfId="4" applyNumberFormat="1" applyAlignment="1">
      <alignment horizontal="left" vertical="center"/>
    </xf>
    <xf numFmtId="0" fontId="4" fillId="0" borderId="0" xfId="4" applyFont="1">
      <alignment vertical="center"/>
    </xf>
    <xf numFmtId="0" fontId="3" fillId="0" borderId="0" xfId="4" applyFont="1" applyAlignment="1">
      <alignment vertical="center" wrapText="1"/>
    </xf>
    <xf numFmtId="0" fontId="3" fillId="0" borderId="0" xfId="4" applyFont="1" applyAlignment="1">
      <alignment horizontal="center" vertical="center"/>
    </xf>
    <xf numFmtId="0" fontId="1" fillId="0" borderId="0" xfId="1">
      <alignment vertical="center"/>
    </xf>
    <xf numFmtId="0" fontId="3" fillId="0" borderId="0" xfId="2" applyFont="1" applyAlignment="1">
      <alignment vertical="center"/>
    </xf>
    <xf numFmtId="0" fontId="11" fillId="0" borderId="0" xfId="2" applyFont="1" applyAlignment="1">
      <alignment horizontal="left" vertical="center"/>
    </xf>
    <xf numFmtId="0" fontId="9" fillId="0" borderId="0" xfId="2" applyFont="1" applyAlignment="1">
      <alignment horizontal="left" vertical="center" indent="1"/>
    </xf>
    <xf numFmtId="0" fontId="1" fillId="0" borderId="0" xfId="2" applyFont="1" applyAlignment="1">
      <alignment vertical="center"/>
    </xf>
    <xf numFmtId="0" fontId="5" fillId="0" borderId="4" xfId="4" applyFont="1" applyBorder="1">
      <alignment vertical="center"/>
    </xf>
    <xf numFmtId="0" fontId="5" fillId="0" borderId="4" xfId="4" applyFont="1" applyBorder="1" applyAlignment="1">
      <alignment vertical="center" wrapText="1"/>
    </xf>
    <xf numFmtId="0" fontId="5" fillId="0" borderId="4" xfId="4" applyFont="1" applyBorder="1" applyAlignment="1">
      <alignment horizontal="right" vertical="center"/>
    </xf>
    <xf numFmtId="176" fontId="8" fillId="0" borderId="4" xfId="4" applyNumberFormat="1" applyFont="1" applyBorder="1">
      <alignment vertical="center"/>
    </xf>
    <xf numFmtId="0" fontId="17" fillId="0" borderId="4" xfId="4" applyFont="1" applyBorder="1">
      <alignment vertical="center"/>
    </xf>
    <xf numFmtId="176" fontId="8" fillId="0" borderId="4" xfId="4" applyNumberFormat="1" applyFont="1" applyBorder="1" applyAlignment="1">
      <alignment vertical="center" wrapText="1"/>
    </xf>
    <xf numFmtId="0" fontId="5" fillId="0" borderId="4" xfId="4" applyFont="1" applyBorder="1" applyAlignment="1">
      <alignment horizontal="center" vertical="center"/>
    </xf>
    <xf numFmtId="0" fontId="5" fillId="0" borderId="5" xfId="4" applyFont="1" applyBorder="1" applyAlignment="1">
      <alignment horizontal="center" vertical="center"/>
    </xf>
    <xf numFmtId="0" fontId="6" fillId="0" borderId="0" xfId="4" applyFont="1">
      <alignment vertical="center"/>
    </xf>
    <xf numFmtId="0" fontId="5" fillId="0" borderId="7" xfId="4" applyFont="1" applyBorder="1">
      <alignment vertical="center"/>
    </xf>
    <xf numFmtId="0" fontId="5" fillId="0" borderId="7" xfId="4" applyFont="1" applyBorder="1" applyAlignment="1">
      <alignment vertical="center" wrapText="1"/>
    </xf>
    <xf numFmtId="0" fontId="5" fillId="0" borderId="7" xfId="4" applyFont="1" applyBorder="1" applyAlignment="1">
      <alignment horizontal="right" vertical="center"/>
    </xf>
    <xf numFmtId="0" fontId="7" fillId="0" borderId="7" xfId="2" applyFont="1" applyBorder="1" applyProtection="1">
      <protection locked="0"/>
    </xf>
    <xf numFmtId="0" fontId="5" fillId="0" borderId="7" xfId="4" applyFont="1" applyBorder="1" applyAlignment="1">
      <alignment horizontal="center" vertical="center"/>
    </xf>
    <xf numFmtId="0" fontId="5" fillId="0" borderId="8" xfId="4" applyFont="1" applyBorder="1" applyAlignment="1">
      <alignment horizontal="center" vertical="center"/>
    </xf>
    <xf numFmtId="57" fontId="1" fillId="0" borderId="0" xfId="4" applyNumberFormat="1" applyAlignment="1">
      <alignment horizontal="center" vertical="center"/>
    </xf>
    <xf numFmtId="3" fontId="1" fillId="0" borderId="0" xfId="4" applyNumberFormat="1">
      <alignment vertical="center"/>
    </xf>
    <xf numFmtId="0" fontId="1" fillId="0" borderId="0" xfId="4" applyAlignment="1">
      <alignment horizontal="center" vertical="center"/>
    </xf>
    <xf numFmtId="6" fontId="0" fillId="3" borderId="1" xfId="3" applyFont="1" applyFill="1" applyBorder="1" applyAlignment="1" applyProtection="1">
      <alignment vertical="center" wrapText="1"/>
      <protection locked="0"/>
    </xf>
    <xf numFmtId="0" fontId="1" fillId="0" borderId="2" xfId="4" applyBorder="1" applyAlignment="1">
      <alignment vertical="center" wrapText="1"/>
    </xf>
    <xf numFmtId="3" fontId="1" fillId="0" borderId="9" xfId="4" applyNumberFormat="1" applyBorder="1">
      <alignment vertical="center"/>
    </xf>
    <xf numFmtId="0" fontId="1" fillId="0" borderId="21" xfId="4" applyBorder="1" applyAlignment="1">
      <alignment vertical="center" wrapText="1"/>
    </xf>
    <xf numFmtId="3" fontId="1" fillId="0" borderId="22" xfId="4" applyNumberFormat="1" applyBorder="1">
      <alignment vertical="center"/>
    </xf>
    <xf numFmtId="49" fontId="0" fillId="3" borderId="1" xfId="3" applyNumberFormat="1" applyFont="1" applyFill="1" applyBorder="1" applyAlignment="1" applyProtection="1">
      <alignment vertical="center" wrapText="1"/>
      <protection locked="0"/>
    </xf>
    <xf numFmtId="0" fontId="18" fillId="0" borderId="2" xfId="4" applyFont="1" applyBorder="1" applyAlignment="1">
      <alignment vertical="center" wrapText="1"/>
    </xf>
    <xf numFmtId="0" fontId="16" fillId="0" borderId="2" xfId="4" applyFont="1" applyBorder="1" applyAlignment="1">
      <alignment vertical="center" wrapText="1"/>
    </xf>
    <xf numFmtId="49" fontId="3" fillId="0" borderId="12" xfId="4" applyNumberFormat="1" applyFont="1" applyBorder="1" applyAlignment="1">
      <alignment horizontal="center" vertical="center" wrapText="1"/>
    </xf>
    <xf numFmtId="49" fontId="3" fillId="0" borderId="17" xfId="4" applyNumberFormat="1" applyFont="1" applyBorder="1">
      <alignment vertical="center"/>
    </xf>
    <xf numFmtId="49" fontId="3" fillId="0" borderId="20" xfId="4" applyNumberFormat="1" applyFont="1" applyBorder="1">
      <alignment vertical="center"/>
    </xf>
    <xf numFmtId="49" fontId="3" fillId="0" borderId="0" xfId="4" applyNumberFormat="1" applyFont="1">
      <alignment vertical="center"/>
    </xf>
    <xf numFmtId="49" fontId="3" fillId="0" borderId="0" xfId="2" applyNumberFormat="1" applyFont="1" applyAlignment="1">
      <alignment vertical="center"/>
    </xf>
    <xf numFmtId="49" fontId="5" fillId="0" borderId="3" xfId="4" applyNumberFormat="1" applyFont="1" applyBorder="1">
      <alignment vertical="center"/>
    </xf>
    <xf numFmtId="49" fontId="5" fillId="0" borderId="6" xfId="4" applyNumberFormat="1" applyFont="1" applyBorder="1">
      <alignment vertical="center"/>
    </xf>
    <xf numFmtId="49" fontId="1" fillId="0" borderId="0" xfId="4" applyNumberFormat="1">
      <alignment vertical="center"/>
    </xf>
  </cellXfs>
  <cellStyles count="5">
    <cellStyle name="通貨 2" xfId="3" xr:uid="{A756B6C5-8671-4B1D-8318-EBAE185E338C}"/>
    <cellStyle name="標準" xfId="0" builtinId="0"/>
    <cellStyle name="標準 2" xfId="2" xr:uid="{89784AAD-535F-4063-8C47-86F0C470A91B}"/>
    <cellStyle name="標準_2_1債権者一覧表(6.5)" xfId="1" xr:uid="{00000000-0005-0000-0000-000002000000}"/>
    <cellStyle name="標準_債権者一覧表" xfId="4" xr:uid="{B4C04526-44D0-4B69-8FC4-47462C768C6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C904A-5301-4CA2-A5AF-7C4F77C884FF}">
  <sheetPr>
    <tabColor indexed="45"/>
  </sheetPr>
  <dimension ref="A1:Y228"/>
  <sheetViews>
    <sheetView tabSelected="1" workbookViewId="0">
      <pane xSplit="2" ySplit="7" topLeftCell="C12" activePane="bottomRight" state="frozen"/>
      <selection pane="topRight" activeCell="C1" sqref="C1"/>
      <selection pane="bottomLeft" activeCell="A8" sqref="A8"/>
      <selection pane="bottomRight" activeCell="B5" sqref="B5"/>
    </sheetView>
  </sheetViews>
  <sheetFormatPr defaultColWidth="8.4140625" defaultRowHeight="14" x14ac:dyDescent="0.2"/>
  <cols>
    <col min="1" max="1" width="8.4140625" style="7" bestFit="1" customWidth="1"/>
    <col min="2" max="2" width="23.83203125" style="46" bestFit="1" customWidth="1"/>
    <col min="3" max="3" width="4.9140625" style="7" bestFit="1" customWidth="1"/>
    <col min="4" max="4" width="8.83203125" style="7" bestFit="1" customWidth="1"/>
    <col min="5" max="5" width="25.08203125" style="7" customWidth="1"/>
    <col min="6" max="6" width="15.08203125" style="47" bestFit="1" customWidth="1"/>
    <col min="7" max="9" width="7.83203125" style="7" customWidth="1"/>
    <col min="10" max="10" width="9.58203125" style="17" bestFit="1" customWidth="1"/>
    <col min="11" max="11" width="10.6640625" style="18" bestFit="1" customWidth="1"/>
    <col min="12" max="12" width="8.83203125" style="47" bestFit="1" customWidth="1"/>
    <col min="13" max="13" width="8.58203125" style="7" customWidth="1"/>
    <col min="14" max="15" width="9.5" style="7" customWidth="1"/>
    <col min="16" max="22" width="4.6640625" style="7" customWidth="1"/>
    <col min="23" max="23" width="13.9140625" style="7" customWidth="1"/>
    <col min="24" max="25" width="4.6640625" style="7" customWidth="1"/>
    <col min="26" max="256" width="8.4140625" style="7"/>
    <col min="257" max="257" width="8.4140625" style="7" bestFit="1"/>
    <col min="258" max="258" width="23.83203125" style="7" bestFit="1" customWidth="1"/>
    <col min="259" max="259" width="4.9140625" style="7" bestFit="1" customWidth="1"/>
    <col min="260" max="260" width="8.83203125" style="7" bestFit="1" customWidth="1"/>
    <col min="261" max="261" width="25.08203125" style="7" customWidth="1"/>
    <col min="262" max="262" width="15.08203125" style="7" bestFit="1" customWidth="1"/>
    <col min="263" max="265" width="7.83203125" style="7" customWidth="1"/>
    <col min="266" max="266" width="9.58203125" style="7" bestFit="1" customWidth="1"/>
    <col min="267" max="267" width="10.6640625" style="7" bestFit="1" customWidth="1"/>
    <col min="268" max="268" width="4.9140625" style="7" bestFit="1" customWidth="1"/>
    <col min="269" max="269" width="8.58203125" style="7" customWidth="1"/>
    <col min="270" max="271" width="9.5" style="7" customWidth="1"/>
    <col min="272" max="278" width="4.6640625" style="7" customWidth="1"/>
    <col min="279" max="279" width="13.9140625" style="7" customWidth="1"/>
    <col min="280" max="281" width="4.6640625" style="7" customWidth="1"/>
    <col min="282" max="512" width="8.4140625" style="7"/>
    <col min="513" max="513" width="8.4140625" style="7" bestFit="1"/>
    <col min="514" max="514" width="23.83203125" style="7" bestFit="1" customWidth="1"/>
    <col min="515" max="515" width="4.9140625" style="7" bestFit="1" customWidth="1"/>
    <col min="516" max="516" width="8.83203125" style="7" bestFit="1" customWidth="1"/>
    <col min="517" max="517" width="25.08203125" style="7" customWidth="1"/>
    <col min="518" max="518" width="15.08203125" style="7" bestFit="1" customWidth="1"/>
    <col min="519" max="521" width="7.83203125" style="7" customWidth="1"/>
    <col min="522" max="522" width="9.58203125" style="7" bestFit="1" customWidth="1"/>
    <col min="523" max="523" width="10.6640625" style="7" bestFit="1" customWidth="1"/>
    <col min="524" max="524" width="4.9140625" style="7" bestFit="1" customWidth="1"/>
    <col min="525" max="525" width="8.58203125" style="7" customWidth="1"/>
    <col min="526" max="527" width="9.5" style="7" customWidth="1"/>
    <col min="528" max="534" width="4.6640625" style="7" customWidth="1"/>
    <col min="535" max="535" width="13.9140625" style="7" customWidth="1"/>
    <col min="536" max="537" width="4.6640625" style="7" customWidth="1"/>
    <col min="538" max="768" width="8.4140625" style="7"/>
    <col min="769" max="769" width="8.4140625" style="7" bestFit="1"/>
    <col min="770" max="770" width="23.83203125" style="7" bestFit="1" customWidth="1"/>
    <col min="771" max="771" width="4.9140625" style="7" bestFit="1" customWidth="1"/>
    <col min="772" max="772" width="8.83203125" style="7" bestFit="1" customWidth="1"/>
    <col min="773" max="773" width="25.08203125" style="7" customWidth="1"/>
    <col min="774" max="774" width="15.08203125" style="7" bestFit="1" customWidth="1"/>
    <col min="775" max="777" width="7.83203125" style="7" customWidth="1"/>
    <col min="778" max="778" width="9.58203125" style="7" bestFit="1" customWidth="1"/>
    <col min="779" max="779" width="10.6640625" style="7" bestFit="1" customWidth="1"/>
    <col min="780" max="780" width="4.9140625" style="7" bestFit="1" customWidth="1"/>
    <col min="781" max="781" width="8.58203125" style="7" customWidth="1"/>
    <col min="782" max="783" width="9.5" style="7" customWidth="1"/>
    <col min="784" max="790" width="4.6640625" style="7" customWidth="1"/>
    <col min="791" max="791" width="13.9140625" style="7" customWidth="1"/>
    <col min="792" max="793" width="4.6640625" style="7" customWidth="1"/>
    <col min="794" max="1024" width="8.4140625" style="7"/>
    <col min="1025" max="1025" width="8.4140625" style="7" bestFit="1"/>
    <col min="1026" max="1026" width="23.83203125" style="7" bestFit="1" customWidth="1"/>
    <col min="1027" max="1027" width="4.9140625" style="7" bestFit="1" customWidth="1"/>
    <col min="1028" max="1028" width="8.83203125" style="7" bestFit="1" customWidth="1"/>
    <col min="1029" max="1029" width="25.08203125" style="7" customWidth="1"/>
    <col min="1030" max="1030" width="15.08203125" style="7" bestFit="1" customWidth="1"/>
    <col min="1031" max="1033" width="7.83203125" style="7" customWidth="1"/>
    <col min="1034" max="1034" width="9.58203125" style="7" bestFit="1" customWidth="1"/>
    <col min="1035" max="1035" width="10.6640625" style="7" bestFit="1" customWidth="1"/>
    <col min="1036" max="1036" width="4.9140625" style="7" bestFit="1" customWidth="1"/>
    <col min="1037" max="1037" width="8.58203125" style="7" customWidth="1"/>
    <col min="1038" max="1039" width="9.5" style="7" customWidth="1"/>
    <col min="1040" max="1046" width="4.6640625" style="7" customWidth="1"/>
    <col min="1047" max="1047" width="13.9140625" style="7" customWidth="1"/>
    <col min="1048" max="1049" width="4.6640625" style="7" customWidth="1"/>
    <col min="1050" max="1280" width="8.4140625" style="7"/>
    <col min="1281" max="1281" width="8.4140625" style="7" bestFit="1"/>
    <col min="1282" max="1282" width="23.83203125" style="7" bestFit="1" customWidth="1"/>
    <col min="1283" max="1283" width="4.9140625" style="7" bestFit="1" customWidth="1"/>
    <col min="1284" max="1284" width="8.83203125" style="7" bestFit="1" customWidth="1"/>
    <col min="1285" max="1285" width="25.08203125" style="7" customWidth="1"/>
    <col min="1286" max="1286" width="15.08203125" style="7" bestFit="1" customWidth="1"/>
    <col min="1287" max="1289" width="7.83203125" style="7" customWidth="1"/>
    <col min="1290" max="1290" width="9.58203125" style="7" bestFit="1" customWidth="1"/>
    <col min="1291" max="1291" width="10.6640625" style="7" bestFit="1" customWidth="1"/>
    <col min="1292" max="1292" width="4.9140625" style="7" bestFit="1" customWidth="1"/>
    <col min="1293" max="1293" width="8.58203125" style="7" customWidth="1"/>
    <col min="1294" max="1295" width="9.5" style="7" customWidth="1"/>
    <col min="1296" max="1302" width="4.6640625" style="7" customWidth="1"/>
    <col min="1303" max="1303" width="13.9140625" style="7" customWidth="1"/>
    <col min="1304" max="1305" width="4.6640625" style="7" customWidth="1"/>
    <col min="1306" max="1536" width="8.4140625" style="7"/>
    <col min="1537" max="1537" width="8.4140625" style="7" bestFit="1"/>
    <col min="1538" max="1538" width="23.83203125" style="7" bestFit="1" customWidth="1"/>
    <col min="1539" max="1539" width="4.9140625" style="7" bestFit="1" customWidth="1"/>
    <col min="1540" max="1540" width="8.83203125" style="7" bestFit="1" customWidth="1"/>
    <col min="1541" max="1541" width="25.08203125" style="7" customWidth="1"/>
    <col min="1542" max="1542" width="15.08203125" style="7" bestFit="1" customWidth="1"/>
    <col min="1543" max="1545" width="7.83203125" style="7" customWidth="1"/>
    <col min="1546" max="1546" width="9.58203125" style="7" bestFit="1" customWidth="1"/>
    <col min="1547" max="1547" width="10.6640625" style="7" bestFit="1" customWidth="1"/>
    <col min="1548" max="1548" width="4.9140625" style="7" bestFit="1" customWidth="1"/>
    <col min="1549" max="1549" width="8.58203125" style="7" customWidth="1"/>
    <col min="1550" max="1551" width="9.5" style="7" customWidth="1"/>
    <col min="1552" max="1558" width="4.6640625" style="7" customWidth="1"/>
    <col min="1559" max="1559" width="13.9140625" style="7" customWidth="1"/>
    <col min="1560" max="1561" width="4.6640625" style="7" customWidth="1"/>
    <col min="1562" max="1792" width="8.4140625" style="7"/>
    <col min="1793" max="1793" width="8.4140625" style="7" bestFit="1"/>
    <col min="1794" max="1794" width="23.83203125" style="7" bestFit="1" customWidth="1"/>
    <col min="1795" max="1795" width="4.9140625" style="7" bestFit="1" customWidth="1"/>
    <col min="1796" max="1796" width="8.83203125" style="7" bestFit="1" customWidth="1"/>
    <col min="1797" max="1797" width="25.08203125" style="7" customWidth="1"/>
    <col min="1798" max="1798" width="15.08203125" style="7" bestFit="1" customWidth="1"/>
    <col min="1799" max="1801" width="7.83203125" style="7" customWidth="1"/>
    <col min="1802" max="1802" width="9.58203125" style="7" bestFit="1" customWidth="1"/>
    <col min="1803" max="1803" width="10.6640625" style="7" bestFit="1" customWidth="1"/>
    <col min="1804" max="1804" width="4.9140625" style="7" bestFit="1" customWidth="1"/>
    <col min="1805" max="1805" width="8.58203125" style="7" customWidth="1"/>
    <col min="1806" max="1807" width="9.5" style="7" customWidth="1"/>
    <col min="1808" max="1814" width="4.6640625" style="7" customWidth="1"/>
    <col min="1815" max="1815" width="13.9140625" style="7" customWidth="1"/>
    <col min="1816" max="1817" width="4.6640625" style="7" customWidth="1"/>
    <col min="1818" max="2048" width="8.4140625" style="7"/>
    <col min="2049" max="2049" width="8.4140625" style="7" bestFit="1"/>
    <col min="2050" max="2050" width="23.83203125" style="7" bestFit="1" customWidth="1"/>
    <col min="2051" max="2051" width="4.9140625" style="7" bestFit="1" customWidth="1"/>
    <col min="2052" max="2052" width="8.83203125" style="7" bestFit="1" customWidth="1"/>
    <col min="2053" max="2053" width="25.08203125" style="7" customWidth="1"/>
    <col min="2054" max="2054" width="15.08203125" style="7" bestFit="1" customWidth="1"/>
    <col min="2055" max="2057" width="7.83203125" style="7" customWidth="1"/>
    <col min="2058" max="2058" width="9.58203125" style="7" bestFit="1" customWidth="1"/>
    <col min="2059" max="2059" width="10.6640625" style="7" bestFit="1" customWidth="1"/>
    <col min="2060" max="2060" width="4.9140625" style="7" bestFit="1" customWidth="1"/>
    <col min="2061" max="2061" width="8.58203125" style="7" customWidth="1"/>
    <col min="2062" max="2063" width="9.5" style="7" customWidth="1"/>
    <col min="2064" max="2070" width="4.6640625" style="7" customWidth="1"/>
    <col min="2071" max="2071" width="13.9140625" style="7" customWidth="1"/>
    <col min="2072" max="2073" width="4.6640625" style="7" customWidth="1"/>
    <col min="2074" max="2304" width="8.4140625" style="7"/>
    <col min="2305" max="2305" width="8.4140625" style="7" bestFit="1"/>
    <col min="2306" max="2306" width="23.83203125" style="7" bestFit="1" customWidth="1"/>
    <col min="2307" max="2307" width="4.9140625" style="7" bestFit="1" customWidth="1"/>
    <col min="2308" max="2308" width="8.83203125" style="7" bestFit="1" customWidth="1"/>
    <col min="2309" max="2309" width="25.08203125" style="7" customWidth="1"/>
    <col min="2310" max="2310" width="15.08203125" style="7" bestFit="1" customWidth="1"/>
    <col min="2311" max="2313" width="7.83203125" style="7" customWidth="1"/>
    <col min="2314" max="2314" width="9.58203125" style="7" bestFit="1" customWidth="1"/>
    <col min="2315" max="2315" width="10.6640625" style="7" bestFit="1" customWidth="1"/>
    <col min="2316" max="2316" width="4.9140625" style="7" bestFit="1" customWidth="1"/>
    <col min="2317" max="2317" width="8.58203125" style="7" customWidth="1"/>
    <col min="2318" max="2319" width="9.5" style="7" customWidth="1"/>
    <col min="2320" max="2326" width="4.6640625" style="7" customWidth="1"/>
    <col min="2327" max="2327" width="13.9140625" style="7" customWidth="1"/>
    <col min="2328" max="2329" width="4.6640625" style="7" customWidth="1"/>
    <col min="2330" max="2560" width="8.4140625" style="7"/>
    <col min="2561" max="2561" width="8.4140625" style="7" bestFit="1"/>
    <col min="2562" max="2562" width="23.83203125" style="7" bestFit="1" customWidth="1"/>
    <col min="2563" max="2563" width="4.9140625" style="7" bestFit="1" customWidth="1"/>
    <col min="2564" max="2564" width="8.83203125" style="7" bestFit="1" customWidth="1"/>
    <col min="2565" max="2565" width="25.08203125" style="7" customWidth="1"/>
    <col min="2566" max="2566" width="15.08203125" style="7" bestFit="1" customWidth="1"/>
    <col min="2567" max="2569" width="7.83203125" style="7" customWidth="1"/>
    <col min="2570" max="2570" width="9.58203125" style="7" bestFit="1" customWidth="1"/>
    <col min="2571" max="2571" width="10.6640625" style="7" bestFit="1" customWidth="1"/>
    <col min="2572" max="2572" width="4.9140625" style="7" bestFit="1" customWidth="1"/>
    <col min="2573" max="2573" width="8.58203125" style="7" customWidth="1"/>
    <col min="2574" max="2575" width="9.5" style="7" customWidth="1"/>
    <col min="2576" max="2582" width="4.6640625" style="7" customWidth="1"/>
    <col min="2583" max="2583" width="13.9140625" style="7" customWidth="1"/>
    <col min="2584" max="2585" width="4.6640625" style="7" customWidth="1"/>
    <col min="2586" max="2816" width="8.4140625" style="7"/>
    <col min="2817" max="2817" width="8.4140625" style="7" bestFit="1"/>
    <col min="2818" max="2818" width="23.83203125" style="7" bestFit="1" customWidth="1"/>
    <col min="2819" max="2819" width="4.9140625" style="7" bestFit="1" customWidth="1"/>
    <col min="2820" max="2820" width="8.83203125" style="7" bestFit="1" customWidth="1"/>
    <col min="2821" max="2821" width="25.08203125" style="7" customWidth="1"/>
    <col min="2822" max="2822" width="15.08203125" style="7" bestFit="1" customWidth="1"/>
    <col min="2823" max="2825" width="7.83203125" style="7" customWidth="1"/>
    <col min="2826" max="2826" width="9.58203125" style="7" bestFit="1" customWidth="1"/>
    <col min="2827" max="2827" width="10.6640625" style="7" bestFit="1" customWidth="1"/>
    <col min="2828" max="2828" width="4.9140625" style="7" bestFit="1" customWidth="1"/>
    <col min="2829" max="2829" width="8.58203125" style="7" customWidth="1"/>
    <col min="2830" max="2831" width="9.5" style="7" customWidth="1"/>
    <col min="2832" max="2838" width="4.6640625" style="7" customWidth="1"/>
    <col min="2839" max="2839" width="13.9140625" style="7" customWidth="1"/>
    <col min="2840" max="2841" width="4.6640625" style="7" customWidth="1"/>
    <col min="2842" max="3072" width="8.4140625" style="7"/>
    <col min="3073" max="3073" width="8.4140625" style="7" bestFit="1"/>
    <col min="3074" max="3074" width="23.83203125" style="7" bestFit="1" customWidth="1"/>
    <col min="3075" max="3075" width="4.9140625" style="7" bestFit="1" customWidth="1"/>
    <col min="3076" max="3076" width="8.83203125" style="7" bestFit="1" customWidth="1"/>
    <col min="3077" max="3077" width="25.08203125" style="7" customWidth="1"/>
    <col min="3078" max="3078" width="15.08203125" style="7" bestFit="1" customWidth="1"/>
    <col min="3079" max="3081" width="7.83203125" style="7" customWidth="1"/>
    <col min="3082" max="3082" width="9.58203125" style="7" bestFit="1" customWidth="1"/>
    <col min="3083" max="3083" width="10.6640625" style="7" bestFit="1" customWidth="1"/>
    <col min="3084" max="3084" width="4.9140625" style="7" bestFit="1" customWidth="1"/>
    <col min="3085" max="3085" width="8.58203125" style="7" customWidth="1"/>
    <col min="3086" max="3087" width="9.5" style="7" customWidth="1"/>
    <col min="3088" max="3094" width="4.6640625" style="7" customWidth="1"/>
    <col min="3095" max="3095" width="13.9140625" style="7" customWidth="1"/>
    <col min="3096" max="3097" width="4.6640625" style="7" customWidth="1"/>
    <col min="3098" max="3328" width="8.4140625" style="7"/>
    <col min="3329" max="3329" width="8.4140625" style="7" bestFit="1"/>
    <col min="3330" max="3330" width="23.83203125" style="7" bestFit="1" customWidth="1"/>
    <col min="3331" max="3331" width="4.9140625" style="7" bestFit="1" customWidth="1"/>
    <col min="3332" max="3332" width="8.83203125" style="7" bestFit="1" customWidth="1"/>
    <col min="3333" max="3333" width="25.08203125" style="7" customWidth="1"/>
    <col min="3334" max="3334" width="15.08203125" style="7" bestFit="1" customWidth="1"/>
    <col min="3335" max="3337" width="7.83203125" style="7" customWidth="1"/>
    <col min="3338" max="3338" width="9.58203125" style="7" bestFit="1" customWidth="1"/>
    <col min="3339" max="3339" width="10.6640625" style="7" bestFit="1" customWidth="1"/>
    <col min="3340" max="3340" width="4.9140625" style="7" bestFit="1" customWidth="1"/>
    <col min="3341" max="3341" width="8.58203125" style="7" customWidth="1"/>
    <col min="3342" max="3343" width="9.5" style="7" customWidth="1"/>
    <col min="3344" max="3350" width="4.6640625" style="7" customWidth="1"/>
    <col min="3351" max="3351" width="13.9140625" style="7" customWidth="1"/>
    <col min="3352" max="3353" width="4.6640625" style="7" customWidth="1"/>
    <col min="3354" max="3584" width="8.4140625" style="7"/>
    <col min="3585" max="3585" width="8.4140625" style="7" bestFit="1"/>
    <col min="3586" max="3586" width="23.83203125" style="7" bestFit="1" customWidth="1"/>
    <col min="3587" max="3587" width="4.9140625" style="7" bestFit="1" customWidth="1"/>
    <col min="3588" max="3588" width="8.83203125" style="7" bestFit="1" customWidth="1"/>
    <col min="3589" max="3589" width="25.08203125" style="7" customWidth="1"/>
    <col min="3590" max="3590" width="15.08203125" style="7" bestFit="1" customWidth="1"/>
    <col min="3591" max="3593" width="7.83203125" style="7" customWidth="1"/>
    <col min="3594" max="3594" width="9.58203125" style="7" bestFit="1" customWidth="1"/>
    <col min="3595" max="3595" width="10.6640625" style="7" bestFit="1" customWidth="1"/>
    <col min="3596" max="3596" width="4.9140625" style="7" bestFit="1" customWidth="1"/>
    <col min="3597" max="3597" width="8.58203125" style="7" customWidth="1"/>
    <col min="3598" max="3599" width="9.5" style="7" customWidth="1"/>
    <col min="3600" max="3606" width="4.6640625" style="7" customWidth="1"/>
    <col min="3607" max="3607" width="13.9140625" style="7" customWidth="1"/>
    <col min="3608" max="3609" width="4.6640625" style="7" customWidth="1"/>
    <col min="3610" max="3840" width="8.4140625" style="7"/>
    <col min="3841" max="3841" width="8.4140625" style="7" bestFit="1"/>
    <col min="3842" max="3842" width="23.83203125" style="7" bestFit="1" customWidth="1"/>
    <col min="3843" max="3843" width="4.9140625" style="7" bestFit="1" customWidth="1"/>
    <col min="3844" max="3844" width="8.83203125" style="7" bestFit="1" customWidth="1"/>
    <col min="3845" max="3845" width="25.08203125" style="7" customWidth="1"/>
    <col min="3846" max="3846" width="15.08203125" style="7" bestFit="1" customWidth="1"/>
    <col min="3847" max="3849" width="7.83203125" style="7" customWidth="1"/>
    <col min="3850" max="3850" width="9.58203125" style="7" bestFit="1" customWidth="1"/>
    <col min="3851" max="3851" width="10.6640625" style="7" bestFit="1" customWidth="1"/>
    <col min="3852" max="3852" width="4.9140625" style="7" bestFit="1" customWidth="1"/>
    <col min="3853" max="3853" width="8.58203125" style="7" customWidth="1"/>
    <col min="3854" max="3855" width="9.5" style="7" customWidth="1"/>
    <col min="3856" max="3862" width="4.6640625" style="7" customWidth="1"/>
    <col min="3863" max="3863" width="13.9140625" style="7" customWidth="1"/>
    <col min="3864" max="3865" width="4.6640625" style="7" customWidth="1"/>
    <col min="3866" max="4096" width="8.4140625" style="7"/>
    <col min="4097" max="4097" width="8.4140625" style="7" bestFit="1"/>
    <col min="4098" max="4098" width="23.83203125" style="7" bestFit="1" customWidth="1"/>
    <col min="4099" max="4099" width="4.9140625" style="7" bestFit="1" customWidth="1"/>
    <col min="4100" max="4100" width="8.83203125" style="7" bestFit="1" customWidth="1"/>
    <col min="4101" max="4101" width="25.08203125" style="7" customWidth="1"/>
    <col min="4102" max="4102" width="15.08203125" style="7" bestFit="1" customWidth="1"/>
    <col min="4103" max="4105" width="7.83203125" style="7" customWidth="1"/>
    <col min="4106" max="4106" width="9.58203125" style="7" bestFit="1" customWidth="1"/>
    <col min="4107" max="4107" width="10.6640625" style="7" bestFit="1" customWidth="1"/>
    <col min="4108" max="4108" width="4.9140625" style="7" bestFit="1" customWidth="1"/>
    <col min="4109" max="4109" width="8.58203125" style="7" customWidth="1"/>
    <col min="4110" max="4111" width="9.5" style="7" customWidth="1"/>
    <col min="4112" max="4118" width="4.6640625" style="7" customWidth="1"/>
    <col min="4119" max="4119" width="13.9140625" style="7" customWidth="1"/>
    <col min="4120" max="4121" width="4.6640625" style="7" customWidth="1"/>
    <col min="4122" max="4352" width="8.4140625" style="7"/>
    <col min="4353" max="4353" width="8.4140625" style="7" bestFit="1"/>
    <col min="4354" max="4354" width="23.83203125" style="7" bestFit="1" customWidth="1"/>
    <col min="4355" max="4355" width="4.9140625" style="7" bestFit="1" customWidth="1"/>
    <col min="4356" max="4356" width="8.83203125" style="7" bestFit="1" customWidth="1"/>
    <col min="4357" max="4357" width="25.08203125" style="7" customWidth="1"/>
    <col min="4358" max="4358" width="15.08203125" style="7" bestFit="1" customWidth="1"/>
    <col min="4359" max="4361" width="7.83203125" style="7" customWidth="1"/>
    <col min="4362" max="4362" width="9.58203125" style="7" bestFit="1" customWidth="1"/>
    <col min="4363" max="4363" width="10.6640625" style="7" bestFit="1" customWidth="1"/>
    <col min="4364" max="4364" width="4.9140625" style="7" bestFit="1" customWidth="1"/>
    <col min="4365" max="4365" width="8.58203125" style="7" customWidth="1"/>
    <col min="4366" max="4367" width="9.5" style="7" customWidth="1"/>
    <col min="4368" max="4374" width="4.6640625" style="7" customWidth="1"/>
    <col min="4375" max="4375" width="13.9140625" style="7" customWidth="1"/>
    <col min="4376" max="4377" width="4.6640625" style="7" customWidth="1"/>
    <col min="4378" max="4608" width="8.4140625" style="7"/>
    <col min="4609" max="4609" width="8.4140625" style="7" bestFit="1"/>
    <col min="4610" max="4610" width="23.83203125" style="7" bestFit="1" customWidth="1"/>
    <col min="4611" max="4611" width="4.9140625" style="7" bestFit="1" customWidth="1"/>
    <col min="4612" max="4612" width="8.83203125" style="7" bestFit="1" customWidth="1"/>
    <col min="4613" max="4613" width="25.08203125" style="7" customWidth="1"/>
    <col min="4614" max="4614" width="15.08203125" style="7" bestFit="1" customWidth="1"/>
    <col min="4615" max="4617" width="7.83203125" style="7" customWidth="1"/>
    <col min="4618" max="4618" width="9.58203125" style="7" bestFit="1" customWidth="1"/>
    <col min="4619" max="4619" width="10.6640625" style="7" bestFit="1" customWidth="1"/>
    <col min="4620" max="4620" width="4.9140625" style="7" bestFit="1" customWidth="1"/>
    <col min="4621" max="4621" width="8.58203125" style="7" customWidth="1"/>
    <col min="4622" max="4623" width="9.5" style="7" customWidth="1"/>
    <col min="4624" max="4630" width="4.6640625" style="7" customWidth="1"/>
    <col min="4631" max="4631" width="13.9140625" style="7" customWidth="1"/>
    <col min="4632" max="4633" width="4.6640625" style="7" customWidth="1"/>
    <col min="4634" max="4864" width="8.4140625" style="7"/>
    <col min="4865" max="4865" width="8.4140625" style="7" bestFit="1"/>
    <col min="4866" max="4866" width="23.83203125" style="7" bestFit="1" customWidth="1"/>
    <col min="4867" max="4867" width="4.9140625" style="7" bestFit="1" customWidth="1"/>
    <col min="4868" max="4868" width="8.83203125" style="7" bestFit="1" customWidth="1"/>
    <col min="4869" max="4869" width="25.08203125" style="7" customWidth="1"/>
    <col min="4870" max="4870" width="15.08203125" style="7" bestFit="1" customWidth="1"/>
    <col min="4871" max="4873" width="7.83203125" style="7" customWidth="1"/>
    <col min="4874" max="4874" width="9.58203125" style="7" bestFit="1" customWidth="1"/>
    <col min="4875" max="4875" width="10.6640625" style="7" bestFit="1" customWidth="1"/>
    <col min="4876" max="4876" width="4.9140625" style="7" bestFit="1" customWidth="1"/>
    <col min="4877" max="4877" width="8.58203125" style="7" customWidth="1"/>
    <col min="4878" max="4879" width="9.5" style="7" customWidth="1"/>
    <col min="4880" max="4886" width="4.6640625" style="7" customWidth="1"/>
    <col min="4887" max="4887" width="13.9140625" style="7" customWidth="1"/>
    <col min="4888" max="4889" width="4.6640625" style="7" customWidth="1"/>
    <col min="4890" max="5120" width="8.4140625" style="7"/>
    <col min="5121" max="5121" width="8.4140625" style="7" bestFit="1"/>
    <col min="5122" max="5122" width="23.83203125" style="7" bestFit="1" customWidth="1"/>
    <col min="5123" max="5123" width="4.9140625" style="7" bestFit="1" customWidth="1"/>
    <col min="5124" max="5124" width="8.83203125" style="7" bestFit="1" customWidth="1"/>
    <col min="5125" max="5125" width="25.08203125" style="7" customWidth="1"/>
    <col min="5126" max="5126" width="15.08203125" style="7" bestFit="1" customWidth="1"/>
    <col min="5127" max="5129" width="7.83203125" style="7" customWidth="1"/>
    <col min="5130" max="5130" width="9.58203125" style="7" bestFit="1" customWidth="1"/>
    <col min="5131" max="5131" width="10.6640625" style="7" bestFit="1" customWidth="1"/>
    <col min="5132" max="5132" width="4.9140625" style="7" bestFit="1" customWidth="1"/>
    <col min="5133" max="5133" width="8.58203125" style="7" customWidth="1"/>
    <col min="5134" max="5135" width="9.5" style="7" customWidth="1"/>
    <col min="5136" max="5142" width="4.6640625" style="7" customWidth="1"/>
    <col min="5143" max="5143" width="13.9140625" style="7" customWidth="1"/>
    <col min="5144" max="5145" width="4.6640625" style="7" customWidth="1"/>
    <col min="5146" max="5376" width="8.4140625" style="7"/>
    <col min="5377" max="5377" width="8.4140625" style="7" bestFit="1"/>
    <col min="5378" max="5378" width="23.83203125" style="7" bestFit="1" customWidth="1"/>
    <col min="5379" max="5379" width="4.9140625" style="7" bestFit="1" customWidth="1"/>
    <col min="5380" max="5380" width="8.83203125" style="7" bestFit="1" customWidth="1"/>
    <col min="5381" max="5381" width="25.08203125" style="7" customWidth="1"/>
    <col min="5382" max="5382" width="15.08203125" style="7" bestFit="1" customWidth="1"/>
    <col min="5383" max="5385" width="7.83203125" style="7" customWidth="1"/>
    <col min="5386" max="5386" width="9.58203125" style="7" bestFit="1" customWidth="1"/>
    <col min="5387" max="5387" width="10.6640625" style="7" bestFit="1" customWidth="1"/>
    <col min="5388" max="5388" width="4.9140625" style="7" bestFit="1" customWidth="1"/>
    <col min="5389" max="5389" width="8.58203125" style="7" customWidth="1"/>
    <col min="5390" max="5391" width="9.5" style="7" customWidth="1"/>
    <col min="5392" max="5398" width="4.6640625" style="7" customWidth="1"/>
    <col min="5399" max="5399" width="13.9140625" style="7" customWidth="1"/>
    <col min="5400" max="5401" width="4.6640625" style="7" customWidth="1"/>
    <col min="5402" max="5632" width="8.4140625" style="7"/>
    <col min="5633" max="5633" width="8.4140625" style="7" bestFit="1"/>
    <col min="5634" max="5634" width="23.83203125" style="7" bestFit="1" customWidth="1"/>
    <col min="5635" max="5635" width="4.9140625" style="7" bestFit="1" customWidth="1"/>
    <col min="5636" max="5636" width="8.83203125" style="7" bestFit="1" customWidth="1"/>
    <col min="5637" max="5637" width="25.08203125" style="7" customWidth="1"/>
    <col min="5638" max="5638" width="15.08203125" style="7" bestFit="1" customWidth="1"/>
    <col min="5639" max="5641" width="7.83203125" style="7" customWidth="1"/>
    <col min="5642" max="5642" width="9.58203125" style="7" bestFit="1" customWidth="1"/>
    <col min="5643" max="5643" width="10.6640625" style="7" bestFit="1" customWidth="1"/>
    <col min="5644" max="5644" width="4.9140625" style="7" bestFit="1" customWidth="1"/>
    <col min="5645" max="5645" width="8.58203125" style="7" customWidth="1"/>
    <col min="5646" max="5647" width="9.5" style="7" customWidth="1"/>
    <col min="5648" max="5654" width="4.6640625" style="7" customWidth="1"/>
    <col min="5655" max="5655" width="13.9140625" style="7" customWidth="1"/>
    <col min="5656" max="5657" width="4.6640625" style="7" customWidth="1"/>
    <col min="5658" max="5888" width="8.4140625" style="7"/>
    <col min="5889" max="5889" width="8.4140625" style="7" bestFit="1"/>
    <col min="5890" max="5890" width="23.83203125" style="7" bestFit="1" customWidth="1"/>
    <col min="5891" max="5891" width="4.9140625" style="7" bestFit="1" customWidth="1"/>
    <col min="5892" max="5892" width="8.83203125" style="7" bestFit="1" customWidth="1"/>
    <col min="5893" max="5893" width="25.08203125" style="7" customWidth="1"/>
    <col min="5894" max="5894" width="15.08203125" style="7" bestFit="1" customWidth="1"/>
    <col min="5895" max="5897" width="7.83203125" style="7" customWidth="1"/>
    <col min="5898" max="5898" width="9.58203125" style="7" bestFit="1" customWidth="1"/>
    <col min="5899" max="5899" width="10.6640625" style="7" bestFit="1" customWidth="1"/>
    <col min="5900" max="5900" width="4.9140625" style="7" bestFit="1" customWidth="1"/>
    <col min="5901" max="5901" width="8.58203125" style="7" customWidth="1"/>
    <col min="5902" max="5903" width="9.5" style="7" customWidth="1"/>
    <col min="5904" max="5910" width="4.6640625" style="7" customWidth="1"/>
    <col min="5911" max="5911" width="13.9140625" style="7" customWidth="1"/>
    <col min="5912" max="5913" width="4.6640625" style="7" customWidth="1"/>
    <col min="5914" max="6144" width="8.4140625" style="7"/>
    <col min="6145" max="6145" width="8.4140625" style="7" bestFit="1"/>
    <col min="6146" max="6146" width="23.83203125" style="7" bestFit="1" customWidth="1"/>
    <col min="6147" max="6147" width="4.9140625" style="7" bestFit="1" customWidth="1"/>
    <col min="6148" max="6148" width="8.83203125" style="7" bestFit="1" customWidth="1"/>
    <col min="6149" max="6149" width="25.08203125" style="7" customWidth="1"/>
    <col min="6150" max="6150" width="15.08203125" style="7" bestFit="1" customWidth="1"/>
    <col min="6151" max="6153" width="7.83203125" style="7" customWidth="1"/>
    <col min="6154" max="6154" width="9.58203125" style="7" bestFit="1" customWidth="1"/>
    <col min="6155" max="6155" width="10.6640625" style="7" bestFit="1" customWidth="1"/>
    <col min="6156" max="6156" width="4.9140625" style="7" bestFit="1" customWidth="1"/>
    <col min="6157" max="6157" width="8.58203125" style="7" customWidth="1"/>
    <col min="6158" max="6159" width="9.5" style="7" customWidth="1"/>
    <col min="6160" max="6166" width="4.6640625" style="7" customWidth="1"/>
    <col min="6167" max="6167" width="13.9140625" style="7" customWidth="1"/>
    <col min="6168" max="6169" width="4.6640625" style="7" customWidth="1"/>
    <col min="6170" max="6400" width="8.4140625" style="7"/>
    <col min="6401" max="6401" width="8.4140625" style="7" bestFit="1"/>
    <col min="6402" max="6402" width="23.83203125" style="7" bestFit="1" customWidth="1"/>
    <col min="6403" max="6403" width="4.9140625" style="7" bestFit="1" customWidth="1"/>
    <col min="6404" max="6404" width="8.83203125" style="7" bestFit="1" customWidth="1"/>
    <col min="6405" max="6405" width="25.08203125" style="7" customWidth="1"/>
    <col min="6406" max="6406" width="15.08203125" style="7" bestFit="1" customWidth="1"/>
    <col min="6407" max="6409" width="7.83203125" style="7" customWidth="1"/>
    <col min="6410" max="6410" width="9.58203125" style="7" bestFit="1" customWidth="1"/>
    <col min="6411" max="6411" width="10.6640625" style="7" bestFit="1" customWidth="1"/>
    <col min="6412" max="6412" width="4.9140625" style="7" bestFit="1" customWidth="1"/>
    <col min="6413" max="6413" width="8.58203125" style="7" customWidth="1"/>
    <col min="6414" max="6415" width="9.5" style="7" customWidth="1"/>
    <col min="6416" max="6422" width="4.6640625" style="7" customWidth="1"/>
    <col min="6423" max="6423" width="13.9140625" style="7" customWidth="1"/>
    <col min="6424" max="6425" width="4.6640625" style="7" customWidth="1"/>
    <col min="6426" max="6656" width="8.4140625" style="7"/>
    <col min="6657" max="6657" width="8.4140625" style="7" bestFit="1"/>
    <col min="6658" max="6658" width="23.83203125" style="7" bestFit="1" customWidth="1"/>
    <col min="6659" max="6659" width="4.9140625" style="7" bestFit="1" customWidth="1"/>
    <col min="6660" max="6660" width="8.83203125" style="7" bestFit="1" customWidth="1"/>
    <col min="6661" max="6661" width="25.08203125" style="7" customWidth="1"/>
    <col min="6662" max="6662" width="15.08203125" style="7" bestFit="1" customWidth="1"/>
    <col min="6663" max="6665" width="7.83203125" style="7" customWidth="1"/>
    <col min="6666" max="6666" width="9.58203125" style="7" bestFit="1" customWidth="1"/>
    <col min="6667" max="6667" width="10.6640625" style="7" bestFit="1" customWidth="1"/>
    <col min="6668" max="6668" width="4.9140625" style="7" bestFit="1" customWidth="1"/>
    <col min="6669" max="6669" width="8.58203125" style="7" customWidth="1"/>
    <col min="6670" max="6671" width="9.5" style="7" customWidth="1"/>
    <col min="6672" max="6678" width="4.6640625" style="7" customWidth="1"/>
    <col min="6679" max="6679" width="13.9140625" style="7" customWidth="1"/>
    <col min="6680" max="6681" width="4.6640625" style="7" customWidth="1"/>
    <col min="6682" max="6912" width="8.4140625" style="7"/>
    <col min="6913" max="6913" width="8.4140625" style="7" bestFit="1"/>
    <col min="6914" max="6914" width="23.83203125" style="7" bestFit="1" customWidth="1"/>
    <col min="6915" max="6915" width="4.9140625" style="7" bestFit="1" customWidth="1"/>
    <col min="6916" max="6916" width="8.83203125" style="7" bestFit="1" customWidth="1"/>
    <col min="6917" max="6917" width="25.08203125" style="7" customWidth="1"/>
    <col min="6918" max="6918" width="15.08203125" style="7" bestFit="1" customWidth="1"/>
    <col min="6919" max="6921" width="7.83203125" style="7" customWidth="1"/>
    <col min="6922" max="6922" width="9.58203125" style="7" bestFit="1" customWidth="1"/>
    <col min="6923" max="6923" width="10.6640625" style="7" bestFit="1" customWidth="1"/>
    <col min="6924" max="6924" width="4.9140625" style="7" bestFit="1" customWidth="1"/>
    <col min="6925" max="6925" width="8.58203125" style="7" customWidth="1"/>
    <col min="6926" max="6927" width="9.5" style="7" customWidth="1"/>
    <col min="6928" max="6934" width="4.6640625" style="7" customWidth="1"/>
    <col min="6935" max="6935" width="13.9140625" style="7" customWidth="1"/>
    <col min="6936" max="6937" width="4.6640625" style="7" customWidth="1"/>
    <col min="6938" max="7168" width="8.4140625" style="7"/>
    <col min="7169" max="7169" width="8.4140625" style="7" bestFit="1"/>
    <col min="7170" max="7170" width="23.83203125" style="7" bestFit="1" customWidth="1"/>
    <col min="7171" max="7171" width="4.9140625" style="7" bestFit="1" customWidth="1"/>
    <col min="7172" max="7172" width="8.83203125" style="7" bestFit="1" customWidth="1"/>
    <col min="7173" max="7173" width="25.08203125" style="7" customWidth="1"/>
    <col min="7174" max="7174" width="15.08203125" style="7" bestFit="1" customWidth="1"/>
    <col min="7175" max="7177" width="7.83203125" style="7" customWidth="1"/>
    <col min="7178" max="7178" width="9.58203125" style="7" bestFit="1" customWidth="1"/>
    <col min="7179" max="7179" width="10.6640625" style="7" bestFit="1" customWidth="1"/>
    <col min="7180" max="7180" width="4.9140625" style="7" bestFit="1" customWidth="1"/>
    <col min="7181" max="7181" width="8.58203125" style="7" customWidth="1"/>
    <col min="7182" max="7183" width="9.5" style="7" customWidth="1"/>
    <col min="7184" max="7190" width="4.6640625" style="7" customWidth="1"/>
    <col min="7191" max="7191" width="13.9140625" style="7" customWidth="1"/>
    <col min="7192" max="7193" width="4.6640625" style="7" customWidth="1"/>
    <col min="7194" max="7424" width="8.4140625" style="7"/>
    <col min="7425" max="7425" width="8.4140625" style="7" bestFit="1"/>
    <col min="7426" max="7426" width="23.83203125" style="7" bestFit="1" customWidth="1"/>
    <col min="7427" max="7427" width="4.9140625" style="7" bestFit="1" customWidth="1"/>
    <col min="7428" max="7428" width="8.83203125" style="7" bestFit="1" customWidth="1"/>
    <col min="7429" max="7429" width="25.08203125" style="7" customWidth="1"/>
    <col min="7430" max="7430" width="15.08203125" style="7" bestFit="1" customWidth="1"/>
    <col min="7431" max="7433" width="7.83203125" style="7" customWidth="1"/>
    <col min="7434" max="7434" width="9.58203125" style="7" bestFit="1" customWidth="1"/>
    <col min="7435" max="7435" width="10.6640625" style="7" bestFit="1" customWidth="1"/>
    <col min="7436" max="7436" width="4.9140625" style="7" bestFit="1" customWidth="1"/>
    <col min="7437" max="7437" width="8.58203125" style="7" customWidth="1"/>
    <col min="7438" max="7439" width="9.5" style="7" customWidth="1"/>
    <col min="7440" max="7446" width="4.6640625" style="7" customWidth="1"/>
    <col min="7447" max="7447" width="13.9140625" style="7" customWidth="1"/>
    <col min="7448" max="7449" width="4.6640625" style="7" customWidth="1"/>
    <col min="7450" max="7680" width="8.4140625" style="7"/>
    <col min="7681" max="7681" width="8.4140625" style="7" bestFit="1"/>
    <col min="7682" max="7682" width="23.83203125" style="7" bestFit="1" customWidth="1"/>
    <col min="7683" max="7683" width="4.9140625" style="7" bestFit="1" customWidth="1"/>
    <col min="7684" max="7684" width="8.83203125" style="7" bestFit="1" customWidth="1"/>
    <col min="7685" max="7685" width="25.08203125" style="7" customWidth="1"/>
    <col min="7686" max="7686" width="15.08203125" style="7" bestFit="1" customWidth="1"/>
    <col min="7687" max="7689" width="7.83203125" style="7" customWidth="1"/>
    <col min="7690" max="7690" width="9.58203125" style="7" bestFit="1" customWidth="1"/>
    <col min="7691" max="7691" width="10.6640625" style="7" bestFit="1" customWidth="1"/>
    <col min="7692" max="7692" width="4.9140625" style="7" bestFit="1" customWidth="1"/>
    <col min="7693" max="7693" width="8.58203125" style="7" customWidth="1"/>
    <col min="7694" max="7695" width="9.5" style="7" customWidth="1"/>
    <col min="7696" max="7702" width="4.6640625" style="7" customWidth="1"/>
    <col min="7703" max="7703" width="13.9140625" style="7" customWidth="1"/>
    <col min="7704" max="7705" width="4.6640625" style="7" customWidth="1"/>
    <col min="7706" max="7936" width="8.4140625" style="7"/>
    <col min="7937" max="7937" width="8.4140625" style="7" bestFit="1"/>
    <col min="7938" max="7938" width="23.83203125" style="7" bestFit="1" customWidth="1"/>
    <col min="7939" max="7939" width="4.9140625" style="7" bestFit="1" customWidth="1"/>
    <col min="7940" max="7940" width="8.83203125" style="7" bestFit="1" customWidth="1"/>
    <col min="7941" max="7941" width="25.08203125" style="7" customWidth="1"/>
    <col min="7942" max="7942" width="15.08203125" style="7" bestFit="1" customWidth="1"/>
    <col min="7943" max="7945" width="7.83203125" style="7" customWidth="1"/>
    <col min="7946" max="7946" width="9.58203125" style="7" bestFit="1" customWidth="1"/>
    <col min="7947" max="7947" width="10.6640625" style="7" bestFit="1" customWidth="1"/>
    <col min="7948" max="7948" width="4.9140625" style="7" bestFit="1" customWidth="1"/>
    <col min="7949" max="7949" width="8.58203125" style="7" customWidth="1"/>
    <col min="7950" max="7951" width="9.5" style="7" customWidth="1"/>
    <col min="7952" max="7958" width="4.6640625" style="7" customWidth="1"/>
    <col min="7959" max="7959" width="13.9140625" style="7" customWidth="1"/>
    <col min="7960" max="7961" width="4.6640625" style="7" customWidth="1"/>
    <col min="7962" max="8192" width="8.4140625" style="7"/>
    <col min="8193" max="8193" width="8.4140625" style="7" bestFit="1"/>
    <col min="8194" max="8194" width="23.83203125" style="7" bestFit="1" customWidth="1"/>
    <col min="8195" max="8195" width="4.9140625" style="7" bestFit="1" customWidth="1"/>
    <col min="8196" max="8196" width="8.83203125" style="7" bestFit="1" customWidth="1"/>
    <col min="8197" max="8197" width="25.08203125" style="7" customWidth="1"/>
    <col min="8198" max="8198" width="15.08203125" style="7" bestFit="1" customWidth="1"/>
    <col min="8199" max="8201" width="7.83203125" style="7" customWidth="1"/>
    <col min="8202" max="8202" width="9.58203125" style="7" bestFit="1" customWidth="1"/>
    <col min="8203" max="8203" width="10.6640625" style="7" bestFit="1" customWidth="1"/>
    <col min="8204" max="8204" width="4.9140625" style="7" bestFit="1" customWidth="1"/>
    <col min="8205" max="8205" width="8.58203125" style="7" customWidth="1"/>
    <col min="8206" max="8207" width="9.5" style="7" customWidth="1"/>
    <col min="8208" max="8214" width="4.6640625" style="7" customWidth="1"/>
    <col min="8215" max="8215" width="13.9140625" style="7" customWidth="1"/>
    <col min="8216" max="8217" width="4.6640625" style="7" customWidth="1"/>
    <col min="8218" max="8448" width="8.4140625" style="7"/>
    <col min="8449" max="8449" width="8.4140625" style="7" bestFit="1"/>
    <col min="8450" max="8450" width="23.83203125" style="7" bestFit="1" customWidth="1"/>
    <col min="8451" max="8451" width="4.9140625" style="7" bestFit="1" customWidth="1"/>
    <col min="8452" max="8452" width="8.83203125" style="7" bestFit="1" customWidth="1"/>
    <col min="8453" max="8453" width="25.08203125" style="7" customWidth="1"/>
    <col min="8454" max="8454" width="15.08203125" style="7" bestFit="1" customWidth="1"/>
    <col min="8455" max="8457" width="7.83203125" style="7" customWidth="1"/>
    <col min="8458" max="8458" width="9.58203125" style="7" bestFit="1" customWidth="1"/>
    <col min="8459" max="8459" width="10.6640625" style="7" bestFit="1" customWidth="1"/>
    <col min="8460" max="8460" width="4.9140625" style="7" bestFit="1" customWidth="1"/>
    <col min="8461" max="8461" width="8.58203125" style="7" customWidth="1"/>
    <col min="8462" max="8463" width="9.5" style="7" customWidth="1"/>
    <col min="8464" max="8470" width="4.6640625" style="7" customWidth="1"/>
    <col min="8471" max="8471" width="13.9140625" style="7" customWidth="1"/>
    <col min="8472" max="8473" width="4.6640625" style="7" customWidth="1"/>
    <col min="8474" max="8704" width="8.4140625" style="7"/>
    <col min="8705" max="8705" width="8.4140625" style="7" bestFit="1"/>
    <col min="8706" max="8706" width="23.83203125" style="7" bestFit="1" customWidth="1"/>
    <col min="8707" max="8707" width="4.9140625" style="7" bestFit="1" customWidth="1"/>
    <col min="8708" max="8708" width="8.83203125" style="7" bestFit="1" customWidth="1"/>
    <col min="8709" max="8709" width="25.08203125" style="7" customWidth="1"/>
    <col min="8710" max="8710" width="15.08203125" style="7" bestFit="1" customWidth="1"/>
    <col min="8711" max="8713" width="7.83203125" style="7" customWidth="1"/>
    <col min="8714" max="8714" width="9.58203125" style="7" bestFit="1" customWidth="1"/>
    <col min="8715" max="8715" width="10.6640625" style="7" bestFit="1" customWidth="1"/>
    <col min="8716" max="8716" width="4.9140625" style="7" bestFit="1" customWidth="1"/>
    <col min="8717" max="8717" width="8.58203125" style="7" customWidth="1"/>
    <col min="8718" max="8719" width="9.5" style="7" customWidth="1"/>
    <col min="8720" max="8726" width="4.6640625" style="7" customWidth="1"/>
    <col min="8727" max="8727" width="13.9140625" style="7" customWidth="1"/>
    <col min="8728" max="8729" width="4.6640625" style="7" customWidth="1"/>
    <col min="8730" max="8960" width="8.4140625" style="7"/>
    <col min="8961" max="8961" width="8.4140625" style="7" bestFit="1"/>
    <col min="8962" max="8962" width="23.83203125" style="7" bestFit="1" customWidth="1"/>
    <col min="8963" max="8963" width="4.9140625" style="7" bestFit="1" customWidth="1"/>
    <col min="8964" max="8964" width="8.83203125" style="7" bestFit="1" customWidth="1"/>
    <col min="8965" max="8965" width="25.08203125" style="7" customWidth="1"/>
    <col min="8966" max="8966" width="15.08203125" style="7" bestFit="1" customWidth="1"/>
    <col min="8967" max="8969" width="7.83203125" style="7" customWidth="1"/>
    <col min="8970" max="8970" width="9.58203125" style="7" bestFit="1" customWidth="1"/>
    <col min="8971" max="8971" width="10.6640625" style="7" bestFit="1" customWidth="1"/>
    <col min="8972" max="8972" width="4.9140625" style="7" bestFit="1" customWidth="1"/>
    <col min="8973" max="8973" width="8.58203125" style="7" customWidth="1"/>
    <col min="8974" max="8975" width="9.5" style="7" customWidth="1"/>
    <col min="8976" max="8982" width="4.6640625" style="7" customWidth="1"/>
    <col min="8983" max="8983" width="13.9140625" style="7" customWidth="1"/>
    <col min="8984" max="8985" width="4.6640625" style="7" customWidth="1"/>
    <col min="8986" max="9216" width="8.4140625" style="7"/>
    <col min="9217" max="9217" width="8.4140625" style="7" bestFit="1"/>
    <col min="9218" max="9218" width="23.83203125" style="7" bestFit="1" customWidth="1"/>
    <col min="9219" max="9219" width="4.9140625" style="7" bestFit="1" customWidth="1"/>
    <col min="9220" max="9220" width="8.83203125" style="7" bestFit="1" customWidth="1"/>
    <col min="9221" max="9221" width="25.08203125" style="7" customWidth="1"/>
    <col min="9222" max="9222" width="15.08203125" style="7" bestFit="1" customWidth="1"/>
    <col min="9223" max="9225" width="7.83203125" style="7" customWidth="1"/>
    <col min="9226" max="9226" width="9.58203125" style="7" bestFit="1" customWidth="1"/>
    <col min="9227" max="9227" width="10.6640625" style="7" bestFit="1" customWidth="1"/>
    <col min="9228" max="9228" width="4.9140625" style="7" bestFit="1" customWidth="1"/>
    <col min="9229" max="9229" width="8.58203125" style="7" customWidth="1"/>
    <col min="9230" max="9231" width="9.5" style="7" customWidth="1"/>
    <col min="9232" max="9238" width="4.6640625" style="7" customWidth="1"/>
    <col min="9239" max="9239" width="13.9140625" style="7" customWidth="1"/>
    <col min="9240" max="9241" width="4.6640625" style="7" customWidth="1"/>
    <col min="9242" max="9472" width="8.4140625" style="7"/>
    <col min="9473" max="9473" width="8.4140625" style="7" bestFit="1"/>
    <col min="9474" max="9474" width="23.83203125" style="7" bestFit="1" customWidth="1"/>
    <col min="9475" max="9475" width="4.9140625" style="7" bestFit="1" customWidth="1"/>
    <col min="9476" max="9476" width="8.83203125" style="7" bestFit="1" customWidth="1"/>
    <col min="9477" max="9477" width="25.08203125" style="7" customWidth="1"/>
    <col min="9478" max="9478" width="15.08203125" style="7" bestFit="1" customWidth="1"/>
    <col min="9479" max="9481" width="7.83203125" style="7" customWidth="1"/>
    <col min="9482" max="9482" width="9.58203125" style="7" bestFit="1" customWidth="1"/>
    <col min="9483" max="9483" width="10.6640625" style="7" bestFit="1" customWidth="1"/>
    <col min="9484" max="9484" width="4.9140625" style="7" bestFit="1" customWidth="1"/>
    <col min="9485" max="9485" width="8.58203125" style="7" customWidth="1"/>
    <col min="9486" max="9487" width="9.5" style="7" customWidth="1"/>
    <col min="9488" max="9494" width="4.6640625" style="7" customWidth="1"/>
    <col min="9495" max="9495" width="13.9140625" style="7" customWidth="1"/>
    <col min="9496" max="9497" width="4.6640625" style="7" customWidth="1"/>
    <col min="9498" max="9728" width="8.4140625" style="7"/>
    <col min="9729" max="9729" width="8.4140625" style="7" bestFit="1"/>
    <col min="9730" max="9730" width="23.83203125" style="7" bestFit="1" customWidth="1"/>
    <col min="9731" max="9731" width="4.9140625" style="7" bestFit="1" customWidth="1"/>
    <col min="9732" max="9732" width="8.83203125" style="7" bestFit="1" customWidth="1"/>
    <col min="9733" max="9733" width="25.08203125" style="7" customWidth="1"/>
    <col min="9734" max="9734" width="15.08203125" style="7" bestFit="1" customWidth="1"/>
    <col min="9735" max="9737" width="7.83203125" style="7" customWidth="1"/>
    <col min="9738" max="9738" width="9.58203125" style="7" bestFit="1" customWidth="1"/>
    <col min="9739" max="9739" width="10.6640625" style="7" bestFit="1" customWidth="1"/>
    <col min="9740" max="9740" width="4.9140625" style="7" bestFit="1" customWidth="1"/>
    <col min="9741" max="9741" width="8.58203125" style="7" customWidth="1"/>
    <col min="9742" max="9743" width="9.5" style="7" customWidth="1"/>
    <col min="9744" max="9750" width="4.6640625" style="7" customWidth="1"/>
    <col min="9751" max="9751" width="13.9140625" style="7" customWidth="1"/>
    <col min="9752" max="9753" width="4.6640625" style="7" customWidth="1"/>
    <col min="9754" max="9984" width="8.4140625" style="7"/>
    <col min="9985" max="9985" width="8.4140625" style="7" bestFit="1"/>
    <col min="9986" max="9986" width="23.83203125" style="7" bestFit="1" customWidth="1"/>
    <col min="9987" max="9987" width="4.9140625" style="7" bestFit="1" customWidth="1"/>
    <col min="9988" max="9988" width="8.83203125" style="7" bestFit="1" customWidth="1"/>
    <col min="9989" max="9989" width="25.08203125" style="7" customWidth="1"/>
    <col min="9990" max="9990" width="15.08203125" style="7" bestFit="1" customWidth="1"/>
    <col min="9991" max="9993" width="7.83203125" style="7" customWidth="1"/>
    <col min="9994" max="9994" width="9.58203125" style="7" bestFit="1" customWidth="1"/>
    <col min="9995" max="9995" width="10.6640625" style="7" bestFit="1" customWidth="1"/>
    <col min="9996" max="9996" width="4.9140625" style="7" bestFit="1" customWidth="1"/>
    <col min="9997" max="9997" width="8.58203125" style="7" customWidth="1"/>
    <col min="9998" max="9999" width="9.5" style="7" customWidth="1"/>
    <col min="10000" max="10006" width="4.6640625" style="7" customWidth="1"/>
    <col min="10007" max="10007" width="13.9140625" style="7" customWidth="1"/>
    <col min="10008" max="10009" width="4.6640625" style="7" customWidth="1"/>
    <col min="10010" max="10240" width="8.4140625" style="7"/>
    <col min="10241" max="10241" width="8.4140625" style="7" bestFit="1"/>
    <col min="10242" max="10242" width="23.83203125" style="7" bestFit="1" customWidth="1"/>
    <col min="10243" max="10243" width="4.9140625" style="7" bestFit="1" customWidth="1"/>
    <col min="10244" max="10244" width="8.83203125" style="7" bestFit="1" customWidth="1"/>
    <col min="10245" max="10245" width="25.08203125" style="7" customWidth="1"/>
    <col min="10246" max="10246" width="15.08203125" style="7" bestFit="1" customWidth="1"/>
    <col min="10247" max="10249" width="7.83203125" style="7" customWidth="1"/>
    <col min="10250" max="10250" width="9.58203125" style="7" bestFit="1" customWidth="1"/>
    <col min="10251" max="10251" width="10.6640625" style="7" bestFit="1" customWidth="1"/>
    <col min="10252" max="10252" width="4.9140625" style="7" bestFit="1" customWidth="1"/>
    <col min="10253" max="10253" width="8.58203125" style="7" customWidth="1"/>
    <col min="10254" max="10255" width="9.5" style="7" customWidth="1"/>
    <col min="10256" max="10262" width="4.6640625" style="7" customWidth="1"/>
    <col min="10263" max="10263" width="13.9140625" style="7" customWidth="1"/>
    <col min="10264" max="10265" width="4.6640625" style="7" customWidth="1"/>
    <col min="10266" max="10496" width="8.4140625" style="7"/>
    <col min="10497" max="10497" width="8.4140625" style="7" bestFit="1"/>
    <col min="10498" max="10498" width="23.83203125" style="7" bestFit="1" customWidth="1"/>
    <col min="10499" max="10499" width="4.9140625" style="7" bestFit="1" customWidth="1"/>
    <col min="10500" max="10500" width="8.83203125" style="7" bestFit="1" customWidth="1"/>
    <col min="10501" max="10501" width="25.08203125" style="7" customWidth="1"/>
    <col min="10502" max="10502" width="15.08203125" style="7" bestFit="1" customWidth="1"/>
    <col min="10503" max="10505" width="7.83203125" style="7" customWidth="1"/>
    <col min="10506" max="10506" width="9.58203125" style="7" bestFit="1" customWidth="1"/>
    <col min="10507" max="10507" width="10.6640625" style="7" bestFit="1" customWidth="1"/>
    <col min="10508" max="10508" width="4.9140625" style="7" bestFit="1" customWidth="1"/>
    <col min="10509" max="10509" width="8.58203125" style="7" customWidth="1"/>
    <col min="10510" max="10511" width="9.5" style="7" customWidth="1"/>
    <col min="10512" max="10518" width="4.6640625" style="7" customWidth="1"/>
    <col min="10519" max="10519" width="13.9140625" style="7" customWidth="1"/>
    <col min="10520" max="10521" width="4.6640625" style="7" customWidth="1"/>
    <col min="10522" max="10752" width="8.4140625" style="7"/>
    <col min="10753" max="10753" width="8.4140625" style="7" bestFit="1"/>
    <col min="10754" max="10754" width="23.83203125" style="7" bestFit="1" customWidth="1"/>
    <col min="10755" max="10755" width="4.9140625" style="7" bestFit="1" customWidth="1"/>
    <col min="10756" max="10756" width="8.83203125" style="7" bestFit="1" customWidth="1"/>
    <col min="10757" max="10757" width="25.08203125" style="7" customWidth="1"/>
    <col min="10758" max="10758" width="15.08203125" style="7" bestFit="1" customWidth="1"/>
    <col min="10759" max="10761" width="7.83203125" style="7" customWidth="1"/>
    <col min="10762" max="10762" width="9.58203125" style="7" bestFit="1" customWidth="1"/>
    <col min="10763" max="10763" width="10.6640625" style="7" bestFit="1" customWidth="1"/>
    <col min="10764" max="10764" width="4.9140625" style="7" bestFit="1" customWidth="1"/>
    <col min="10765" max="10765" width="8.58203125" style="7" customWidth="1"/>
    <col min="10766" max="10767" width="9.5" style="7" customWidth="1"/>
    <col min="10768" max="10774" width="4.6640625" style="7" customWidth="1"/>
    <col min="10775" max="10775" width="13.9140625" style="7" customWidth="1"/>
    <col min="10776" max="10777" width="4.6640625" style="7" customWidth="1"/>
    <col min="10778" max="11008" width="8.4140625" style="7"/>
    <col min="11009" max="11009" width="8.4140625" style="7" bestFit="1"/>
    <col min="11010" max="11010" width="23.83203125" style="7" bestFit="1" customWidth="1"/>
    <col min="11011" max="11011" width="4.9140625" style="7" bestFit="1" customWidth="1"/>
    <col min="11012" max="11012" width="8.83203125" style="7" bestFit="1" customWidth="1"/>
    <col min="11013" max="11013" width="25.08203125" style="7" customWidth="1"/>
    <col min="11014" max="11014" width="15.08203125" style="7" bestFit="1" customWidth="1"/>
    <col min="11015" max="11017" width="7.83203125" style="7" customWidth="1"/>
    <col min="11018" max="11018" width="9.58203125" style="7" bestFit="1" customWidth="1"/>
    <col min="11019" max="11019" width="10.6640625" style="7" bestFit="1" customWidth="1"/>
    <col min="11020" max="11020" width="4.9140625" style="7" bestFit="1" customWidth="1"/>
    <col min="11021" max="11021" width="8.58203125" style="7" customWidth="1"/>
    <col min="11022" max="11023" width="9.5" style="7" customWidth="1"/>
    <col min="11024" max="11030" width="4.6640625" style="7" customWidth="1"/>
    <col min="11031" max="11031" width="13.9140625" style="7" customWidth="1"/>
    <col min="11032" max="11033" width="4.6640625" style="7" customWidth="1"/>
    <col min="11034" max="11264" width="8.4140625" style="7"/>
    <col min="11265" max="11265" width="8.4140625" style="7" bestFit="1"/>
    <col min="11266" max="11266" width="23.83203125" style="7" bestFit="1" customWidth="1"/>
    <col min="11267" max="11267" width="4.9140625" style="7" bestFit="1" customWidth="1"/>
    <col min="11268" max="11268" width="8.83203125" style="7" bestFit="1" customWidth="1"/>
    <col min="11269" max="11269" width="25.08203125" style="7" customWidth="1"/>
    <col min="11270" max="11270" width="15.08203125" style="7" bestFit="1" customWidth="1"/>
    <col min="11271" max="11273" width="7.83203125" style="7" customWidth="1"/>
    <col min="11274" max="11274" width="9.58203125" style="7" bestFit="1" customWidth="1"/>
    <col min="11275" max="11275" width="10.6640625" style="7" bestFit="1" customWidth="1"/>
    <col min="11276" max="11276" width="4.9140625" style="7" bestFit="1" customWidth="1"/>
    <col min="11277" max="11277" width="8.58203125" style="7" customWidth="1"/>
    <col min="11278" max="11279" width="9.5" style="7" customWidth="1"/>
    <col min="11280" max="11286" width="4.6640625" style="7" customWidth="1"/>
    <col min="11287" max="11287" width="13.9140625" style="7" customWidth="1"/>
    <col min="11288" max="11289" width="4.6640625" style="7" customWidth="1"/>
    <col min="11290" max="11520" width="8.4140625" style="7"/>
    <col min="11521" max="11521" width="8.4140625" style="7" bestFit="1"/>
    <col min="11522" max="11522" width="23.83203125" style="7" bestFit="1" customWidth="1"/>
    <col min="11523" max="11523" width="4.9140625" style="7" bestFit="1" customWidth="1"/>
    <col min="11524" max="11524" width="8.83203125" style="7" bestFit="1" customWidth="1"/>
    <col min="11525" max="11525" width="25.08203125" style="7" customWidth="1"/>
    <col min="11526" max="11526" width="15.08203125" style="7" bestFit="1" customWidth="1"/>
    <col min="11527" max="11529" width="7.83203125" style="7" customWidth="1"/>
    <col min="11530" max="11530" width="9.58203125" style="7" bestFit="1" customWidth="1"/>
    <col min="11531" max="11531" width="10.6640625" style="7" bestFit="1" customWidth="1"/>
    <col min="11532" max="11532" width="4.9140625" style="7" bestFit="1" customWidth="1"/>
    <col min="11533" max="11533" width="8.58203125" style="7" customWidth="1"/>
    <col min="11534" max="11535" width="9.5" style="7" customWidth="1"/>
    <col min="11536" max="11542" width="4.6640625" style="7" customWidth="1"/>
    <col min="11543" max="11543" width="13.9140625" style="7" customWidth="1"/>
    <col min="11544" max="11545" width="4.6640625" style="7" customWidth="1"/>
    <col min="11546" max="11776" width="8.4140625" style="7"/>
    <col min="11777" max="11777" width="8.4140625" style="7" bestFit="1"/>
    <col min="11778" max="11778" width="23.83203125" style="7" bestFit="1" customWidth="1"/>
    <col min="11779" max="11779" width="4.9140625" style="7" bestFit="1" customWidth="1"/>
    <col min="11780" max="11780" width="8.83203125" style="7" bestFit="1" customWidth="1"/>
    <col min="11781" max="11781" width="25.08203125" style="7" customWidth="1"/>
    <col min="11782" max="11782" width="15.08203125" style="7" bestFit="1" customWidth="1"/>
    <col min="11783" max="11785" width="7.83203125" style="7" customWidth="1"/>
    <col min="11786" max="11786" width="9.58203125" style="7" bestFit="1" customWidth="1"/>
    <col min="11787" max="11787" width="10.6640625" style="7" bestFit="1" customWidth="1"/>
    <col min="11788" max="11788" width="4.9140625" style="7" bestFit="1" customWidth="1"/>
    <col min="11789" max="11789" width="8.58203125" style="7" customWidth="1"/>
    <col min="11790" max="11791" width="9.5" style="7" customWidth="1"/>
    <col min="11792" max="11798" width="4.6640625" style="7" customWidth="1"/>
    <col min="11799" max="11799" width="13.9140625" style="7" customWidth="1"/>
    <col min="11800" max="11801" width="4.6640625" style="7" customWidth="1"/>
    <col min="11802" max="12032" width="8.4140625" style="7"/>
    <col min="12033" max="12033" width="8.4140625" style="7" bestFit="1"/>
    <col min="12034" max="12034" width="23.83203125" style="7" bestFit="1" customWidth="1"/>
    <col min="12035" max="12035" width="4.9140625" style="7" bestFit="1" customWidth="1"/>
    <col min="12036" max="12036" width="8.83203125" style="7" bestFit="1" customWidth="1"/>
    <col min="12037" max="12037" width="25.08203125" style="7" customWidth="1"/>
    <col min="12038" max="12038" width="15.08203125" style="7" bestFit="1" customWidth="1"/>
    <col min="12039" max="12041" width="7.83203125" style="7" customWidth="1"/>
    <col min="12042" max="12042" width="9.58203125" style="7" bestFit="1" customWidth="1"/>
    <col min="12043" max="12043" width="10.6640625" style="7" bestFit="1" customWidth="1"/>
    <col min="12044" max="12044" width="4.9140625" style="7" bestFit="1" customWidth="1"/>
    <col min="12045" max="12045" width="8.58203125" style="7" customWidth="1"/>
    <col min="12046" max="12047" width="9.5" style="7" customWidth="1"/>
    <col min="12048" max="12054" width="4.6640625" style="7" customWidth="1"/>
    <col min="12055" max="12055" width="13.9140625" style="7" customWidth="1"/>
    <col min="12056" max="12057" width="4.6640625" style="7" customWidth="1"/>
    <col min="12058" max="12288" width="8.4140625" style="7"/>
    <col min="12289" max="12289" width="8.4140625" style="7" bestFit="1"/>
    <col min="12290" max="12290" width="23.83203125" style="7" bestFit="1" customWidth="1"/>
    <col min="12291" max="12291" width="4.9140625" style="7" bestFit="1" customWidth="1"/>
    <col min="12292" max="12292" width="8.83203125" style="7" bestFit="1" customWidth="1"/>
    <col min="12293" max="12293" width="25.08203125" style="7" customWidth="1"/>
    <col min="12294" max="12294" width="15.08203125" style="7" bestFit="1" customWidth="1"/>
    <col min="12295" max="12297" width="7.83203125" style="7" customWidth="1"/>
    <col min="12298" max="12298" width="9.58203125" style="7" bestFit="1" customWidth="1"/>
    <col min="12299" max="12299" width="10.6640625" style="7" bestFit="1" customWidth="1"/>
    <col min="12300" max="12300" width="4.9140625" style="7" bestFit="1" customWidth="1"/>
    <col min="12301" max="12301" width="8.58203125" style="7" customWidth="1"/>
    <col min="12302" max="12303" width="9.5" style="7" customWidth="1"/>
    <col min="12304" max="12310" width="4.6640625" style="7" customWidth="1"/>
    <col min="12311" max="12311" width="13.9140625" style="7" customWidth="1"/>
    <col min="12312" max="12313" width="4.6640625" style="7" customWidth="1"/>
    <col min="12314" max="12544" width="8.4140625" style="7"/>
    <col min="12545" max="12545" width="8.4140625" style="7" bestFit="1"/>
    <col min="12546" max="12546" width="23.83203125" style="7" bestFit="1" customWidth="1"/>
    <col min="12547" max="12547" width="4.9140625" style="7" bestFit="1" customWidth="1"/>
    <col min="12548" max="12548" width="8.83203125" style="7" bestFit="1" customWidth="1"/>
    <col min="12549" max="12549" width="25.08203125" style="7" customWidth="1"/>
    <col min="12550" max="12550" width="15.08203125" style="7" bestFit="1" customWidth="1"/>
    <col min="12551" max="12553" width="7.83203125" style="7" customWidth="1"/>
    <col min="12554" max="12554" width="9.58203125" style="7" bestFit="1" customWidth="1"/>
    <col min="12555" max="12555" width="10.6640625" style="7" bestFit="1" customWidth="1"/>
    <col min="12556" max="12556" width="4.9140625" style="7" bestFit="1" customWidth="1"/>
    <col min="12557" max="12557" width="8.58203125" style="7" customWidth="1"/>
    <col min="12558" max="12559" width="9.5" style="7" customWidth="1"/>
    <col min="12560" max="12566" width="4.6640625" style="7" customWidth="1"/>
    <col min="12567" max="12567" width="13.9140625" style="7" customWidth="1"/>
    <col min="12568" max="12569" width="4.6640625" style="7" customWidth="1"/>
    <col min="12570" max="12800" width="8.4140625" style="7"/>
    <col min="12801" max="12801" width="8.4140625" style="7" bestFit="1"/>
    <col min="12802" max="12802" width="23.83203125" style="7" bestFit="1" customWidth="1"/>
    <col min="12803" max="12803" width="4.9140625" style="7" bestFit="1" customWidth="1"/>
    <col min="12804" max="12804" width="8.83203125" style="7" bestFit="1" customWidth="1"/>
    <col min="12805" max="12805" width="25.08203125" style="7" customWidth="1"/>
    <col min="12806" max="12806" width="15.08203125" style="7" bestFit="1" customWidth="1"/>
    <col min="12807" max="12809" width="7.83203125" style="7" customWidth="1"/>
    <col min="12810" max="12810" width="9.58203125" style="7" bestFit="1" customWidth="1"/>
    <col min="12811" max="12811" width="10.6640625" style="7" bestFit="1" customWidth="1"/>
    <col min="12812" max="12812" width="4.9140625" style="7" bestFit="1" customWidth="1"/>
    <col min="12813" max="12813" width="8.58203125" style="7" customWidth="1"/>
    <col min="12814" max="12815" width="9.5" style="7" customWidth="1"/>
    <col min="12816" max="12822" width="4.6640625" style="7" customWidth="1"/>
    <col min="12823" max="12823" width="13.9140625" style="7" customWidth="1"/>
    <col min="12824" max="12825" width="4.6640625" style="7" customWidth="1"/>
    <col min="12826" max="13056" width="8.4140625" style="7"/>
    <col min="13057" max="13057" width="8.4140625" style="7" bestFit="1"/>
    <col min="13058" max="13058" width="23.83203125" style="7" bestFit="1" customWidth="1"/>
    <col min="13059" max="13059" width="4.9140625" style="7" bestFit="1" customWidth="1"/>
    <col min="13060" max="13060" width="8.83203125" style="7" bestFit="1" customWidth="1"/>
    <col min="13061" max="13061" width="25.08203125" style="7" customWidth="1"/>
    <col min="13062" max="13062" width="15.08203125" style="7" bestFit="1" customWidth="1"/>
    <col min="13063" max="13065" width="7.83203125" style="7" customWidth="1"/>
    <col min="13066" max="13066" width="9.58203125" style="7" bestFit="1" customWidth="1"/>
    <col min="13067" max="13067" width="10.6640625" style="7" bestFit="1" customWidth="1"/>
    <col min="13068" max="13068" width="4.9140625" style="7" bestFit="1" customWidth="1"/>
    <col min="13069" max="13069" width="8.58203125" style="7" customWidth="1"/>
    <col min="13070" max="13071" width="9.5" style="7" customWidth="1"/>
    <col min="13072" max="13078" width="4.6640625" style="7" customWidth="1"/>
    <col min="13079" max="13079" width="13.9140625" style="7" customWidth="1"/>
    <col min="13080" max="13081" width="4.6640625" style="7" customWidth="1"/>
    <col min="13082" max="13312" width="8.4140625" style="7"/>
    <col min="13313" max="13313" width="8.4140625" style="7" bestFit="1"/>
    <col min="13314" max="13314" width="23.83203125" style="7" bestFit="1" customWidth="1"/>
    <col min="13315" max="13315" width="4.9140625" style="7" bestFit="1" customWidth="1"/>
    <col min="13316" max="13316" width="8.83203125" style="7" bestFit="1" customWidth="1"/>
    <col min="13317" max="13317" width="25.08203125" style="7" customWidth="1"/>
    <col min="13318" max="13318" width="15.08203125" style="7" bestFit="1" customWidth="1"/>
    <col min="13319" max="13321" width="7.83203125" style="7" customWidth="1"/>
    <col min="13322" max="13322" width="9.58203125" style="7" bestFit="1" customWidth="1"/>
    <col min="13323" max="13323" width="10.6640625" style="7" bestFit="1" customWidth="1"/>
    <col min="13324" max="13324" width="4.9140625" style="7" bestFit="1" customWidth="1"/>
    <col min="13325" max="13325" width="8.58203125" style="7" customWidth="1"/>
    <col min="13326" max="13327" width="9.5" style="7" customWidth="1"/>
    <col min="13328" max="13334" width="4.6640625" style="7" customWidth="1"/>
    <col min="13335" max="13335" width="13.9140625" style="7" customWidth="1"/>
    <col min="13336" max="13337" width="4.6640625" style="7" customWidth="1"/>
    <col min="13338" max="13568" width="8.4140625" style="7"/>
    <col min="13569" max="13569" width="8.4140625" style="7" bestFit="1"/>
    <col min="13570" max="13570" width="23.83203125" style="7" bestFit="1" customWidth="1"/>
    <col min="13571" max="13571" width="4.9140625" style="7" bestFit="1" customWidth="1"/>
    <col min="13572" max="13572" width="8.83203125" style="7" bestFit="1" customWidth="1"/>
    <col min="13573" max="13573" width="25.08203125" style="7" customWidth="1"/>
    <col min="13574" max="13574" width="15.08203125" style="7" bestFit="1" customWidth="1"/>
    <col min="13575" max="13577" width="7.83203125" style="7" customWidth="1"/>
    <col min="13578" max="13578" width="9.58203125" style="7" bestFit="1" customWidth="1"/>
    <col min="13579" max="13579" width="10.6640625" style="7" bestFit="1" customWidth="1"/>
    <col min="13580" max="13580" width="4.9140625" style="7" bestFit="1" customWidth="1"/>
    <col min="13581" max="13581" width="8.58203125" style="7" customWidth="1"/>
    <col min="13582" max="13583" width="9.5" style="7" customWidth="1"/>
    <col min="13584" max="13590" width="4.6640625" style="7" customWidth="1"/>
    <col min="13591" max="13591" width="13.9140625" style="7" customWidth="1"/>
    <col min="13592" max="13593" width="4.6640625" style="7" customWidth="1"/>
    <col min="13594" max="13824" width="8.4140625" style="7"/>
    <col min="13825" max="13825" width="8.4140625" style="7" bestFit="1"/>
    <col min="13826" max="13826" width="23.83203125" style="7" bestFit="1" customWidth="1"/>
    <col min="13827" max="13827" width="4.9140625" style="7" bestFit="1" customWidth="1"/>
    <col min="13828" max="13828" width="8.83203125" style="7" bestFit="1" customWidth="1"/>
    <col min="13829" max="13829" width="25.08203125" style="7" customWidth="1"/>
    <col min="13830" max="13830" width="15.08203125" style="7" bestFit="1" customWidth="1"/>
    <col min="13831" max="13833" width="7.83203125" style="7" customWidth="1"/>
    <col min="13834" max="13834" width="9.58203125" style="7" bestFit="1" customWidth="1"/>
    <col min="13835" max="13835" width="10.6640625" style="7" bestFit="1" customWidth="1"/>
    <col min="13836" max="13836" width="4.9140625" style="7" bestFit="1" customWidth="1"/>
    <col min="13837" max="13837" width="8.58203125" style="7" customWidth="1"/>
    <col min="13838" max="13839" width="9.5" style="7" customWidth="1"/>
    <col min="13840" max="13846" width="4.6640625" style="7" customWidth="1"/>
    <col min="13847" max="13847" width="13.9140625" style="7" customWidth="1"/>
    <col min="13848" max="13849" width="4.6640625" style="7" customWidth="1"/>
    <col min="13850" max="14080" width="8.4140625" style="7"/>
    <col min="14081" max="14081" width="8.4140625" style="7" bestFit="1"/>
    <col min="14082" max="14082" width="23.83203125" style="7" bestFit="1" customWidth="1"/>
    <col min="14083" max="14083" width="4.9140625" style="7" bestFit="1" customWidth="1"/>
    <col min="14084" max="14084" width="8.83203125" style="7" bestFit="1" customWidth="1"/>
    <col min="14085" max="14085" width="25.08203125" style="7" customWidth="1"/>
    <col min="14086" max="14086" width="15.08203125" style="7" bestFit="1" customWidth="1"/>
    <col min="14087" max="14089" width="7.83203125" style="7" customWidth="1"/>
    <col min="14090" max="14090" width="9.58203125" style="7" bestFit="1" customWidth="1"/>
    <col min="14091" max="14091" width="10.6640625" style="7" bestFit="1" customWidth="1"/>
    <col min="14092" max="14092" width="4.9140625" style="7" bestFit="1" customWidth="1"/>
    <col min="14093" max="14093" width="8.58203125" style="7" customWidth="1"/>
    <col min="14094" max="14095" width="9.5" style="7" customWidth="1"/>
    <col min="14096" max="14102" width="4.6640625" style="7" customWidth="1"/>
    <col min="14103" max="14103" width="13.9140625" style="7" customWidth="1"/>
    <col min="14104" max="14105" width="4.6640625" style="7" customWidth="1"/>
    <col min="14106" max="14336" width="8.4140625" style="7"/>
    <col min="14337" max="14337" width="8.4140625" style="7" bestFit="1"/>
    <col min="14338" max="14338" width="23.83203125" style="7" bestFit="1" customWidth="1"/>
    <col min="14339" max="14339" width="4.9140625" style="7" bestFit="1" customWidth="1"/>
    <col min="14340" max="14340" width="8.83203125" style="7" bestFit="1" customWidth="1"/>
    <col min="14341" max="14341" width="25.08203125" style="7" customWidth="1"/>
    <col min="14342" max="14342" width="15.08203125" style="7" bestFit="1" customWidth="1"/>
    <col min="14343" max="14345" width="7.83203125" style="7" customWidth="1"/>
    <col min="14346" max="14346" width="9.58203125" style="7" bestFit="1" customWidth="1"/>
    <col min="14347" max="14347" width="10.6640625" style="7" bestFit="1" customWidth="1"/>
    <col min="14348" max="14348" width="4.9140625" style="7" bestFit="1" customWidth="1"/>
    <col min="14349" max="14349" width="8.58203125" style="7" customWidth="1"/>
    <col min="14350" max="14351" width="9.5" style="7" customWidth="1"/>
    <col min="14352" max="14358" width="4.6640625" style="7" customWidth="1"/>
    <col min="14359" max="14359" width="13.9140625" style="7" customWidth="1"/>
    <col min="14360" max="14361" width="4.6640625" style="7" customWidth="1"/>
    <col min="14362" max="14592" width="8.4140625" style="7"/>
    <col min="14593" max="14593" width="8.4140625" style="7" bestFit="1"/>
    <col min="14594" max="14594" width="23.83203125" style="7" bestFit="1" customWidth="1"/>
    <col min="14595" max="14595" width="4.9140625" style="7" bestFit="1" customWidth="1"/>
    <col min="14596" max="14596" width="8.83203125" style="7" bestFit="1" customWidth="1"/>
    <col min="14597" max="14597" width="25.08203125" style="7" customWidth="1"/>
    <col min="14598" max="14598" width="15.08203125" style="7" bestFit="1" customWidth="1"/>
    <col min="14599" max="14601" width="7.83203125" style="7" customWidth="1"/>
    <col min="14602" max="14602" width="9.58203125" style="7" bestFit="1" customWidth="1"/>
    <col min="14603" max="14603" width="10.6640625" style="7" bestFit="1" customWidth="1"/>
    <col min="14604" max="14604" width="4.9140625" style="7" bestFit="1" customWidth="1"/>
    <col min="14605" max="14605" width="8.58203125" style="7" customWidth="1"/>
    <col min="14606" max="14607" width="9.5" style="7" customWidth="1"/>
    <col min="14608" max="14614" width="4.6640625" style="7" customWidth="1"/>
    <col min="14615" max="14615" width="13.9140625" style="7" customWidth="1"/>
    <col min="14616" max="14617" width="4.6640625" style="7" customWidth="1"/>
    <col min="14618" max="14848" width="8.4140625" style="7"/>
    <col min="14849" max="14849" width="8.4140625" style="7" bestFit="1"/>
    <col min="14850" max="14850" width="23.83203125" style="7" bestFit="1" customWidth="1"/>
    <col min="14851" max="14851" width="4.9140625" style="7" bestFit="1" customWidth="1"/>
    <col min="14852" max="14852" width="8.83203125" style="7" bestFit="1" customWidth="1"/>
    <col min="14853" max="14853" width="25.08203125" style="7" customWidth="1"/>
    <col min="14854" max="14854" width="15.08203125" style="7" bestFit="1" customWidth="1"/>
    <col min="14855" max="14857" width="7.83203125" style="7" customWidth="1"/>
    <col min="14858" max="14858" width="9.58203125" style="7" bestFit="1" customWidth="1"/>
    <col min="14859" max="14859" width="10.6640625" style="7" bestFit="1" customWidth="1"/>
    <col min="14860" max="14860" width="4.9140625" style="7" bestFit="1" customWidth="1"/>
    <col min="14861" max="14861" width="8.58203125" style="7" customWidth="1"/>
    <col min="14862" max="14863" width="9.5" style="7" customWidth="1"/>
    <col min="14864" max="14870" width="4.6640625" style="7" customWidth="1"/>
    <col min="14871" max="14871" width="13.9140625" style="7" customWidth="1"/>
    <col min="14872" max="14873" width="4.6640625" style="7" customWidth="1"/>
    <col min="14874" max="15104" width="8.4140625" style="7"/>
    <col min="15105" max="15105" width="8.4140625" style="7" bestFit="1"/>
    <col min="15106" max="15106" width="23.83203125" style="7" bestFit="1" customWidth="1"/>
    <col min="15107" max="15107" width="4.9140625" style="7" bestFit="1" customWidth="1"/>
    <col min="15108" max="15108" width="8.83203125" style="7" bestFit="1" customWidth="1"/>
    <col min="15109" max="15109" width="25.08203125" style="7" customWidth="1"/>
    <col min="15110" max="15110" width="15.08203125" style="7" bestFit="1" customWidth="1"/>
    <col min="15111" max="15113" width="7.83203125" style="7" customWidth="1"/>
    <col min="15114" max="15114" width="9.58203125" style="7" bestFit="1" customWidth="1"/>
    <col min="15115" max="15115" width="10.6640625" style="7" bestFit="1" customWidth="1"/>
    <col min="15116" max="15116" width="4.9140625" style="7" bestFit="1" customWidth="1"/>
    <col min="15117" max="15117" width="8.58203125" style="7" customWidth="1"/>
    <col min="15118" max="15119" width="9.5" style="7" customWidth="1"/>
    <col min="15120" max="15126" width="4.6640625" style="7" customWidth="1"/>
    <col min="15127" max="15127" width="13.9140625" style="7" customWidth="1"/>
    <col min="15128" max="15129" width="4.6640625" style="7" customWidth="1"/>
    <col min="15130" max="15360" width="8.4140625" style="7"/>
    <col min="15361" max="15361" width="8.4140625" style="7" bestFit="1"/>
    <col min="15362" max="15362" width="23.83203125" style="7" bestFit="1" customWidth="1"/>
    <col min="15363" max="15363" width="4.9140625" style="7" bestFit="1" customWidth="1"/>
    <col min="15364" max="15364" width="8.83203125" style="7" bestFit="1" customWidth="1"/>
    <col min="15365" max="15365" width="25.08203125" style="7" customWidth="1"/>
    <col min="15366" max="15366" width="15.08203125" style="7" bestFit="1" customWidth="1"/>
    <col min="15367" max="15369" width="7.83203125" style="7" customWidth="1"/>
    <col min="15370" max="15370" width="9.58203125" style="7" bestFit="1" customWidth="1"/>
    <col min="15371" max="15371" width="10.6640625" style="7" bestFit="1" customWidth="1"/>
    <col min="15372" max="15372" width="4.9140625" style="7" bestFit="1" customWidth="1"/>
    <col min="15373" max="15373" width="8.58203125" style="7" customWidth="1"/>
    <col min="15374" max="15375" width="9.5" style="7" customWidth="1"/>
    <col min="15376" max="15382" width="4.6640625" style="7" customWidth="1"/>
    <col min="15383" max="15383" width="13.9140625" style="7" customWidth="1"/>
    <col min="15384" max="15385" width="4.6640625" style="7" customWidth="1"/>
    <col min="15386" max="15616" width="8.4140625" style="7"/>
    <col min="15617" max="15617" width="8.4140625" style="7" bestFit="1"/>
    <col min="15618" max="15618" width="23.83203125" style="7" bestFit="1" customWidth="1"/>
    <col min="15619" max="15619" width="4.9140625" style="7" bestFit="1" customWidth="1"/>
    <col min="15620" max="15620" width="8.83203125" style="7" bestFit="1" customWidth="1"/>
    <col min="15621" max="15621" width="25.08203125" style="7" customWidth="1"/>
    <col min="15622" max="15622" width="15.08203125" style="7" bestFit="1" customWidth="1"/>
    <col min="15623" max="15625" width="7.83203125" style="7" customWidth="1"/>
    <col min="15626" max="15626" width="9.58203125" style="7" bestFit="1" customWidth="1"/>
    <col min="15627" max="15627" width="10.6640625" style="7" bestFit="1" customWidth="1"/>
    <col min="15628" max="15628" width="4.9140625" style="7" bestFit="1" customWidth="1"/>
    <col min="15629" max="15629" width="8.58203125" style="7" customWidth="1"/>
    <col min="15630" max="15631" width="9.5" style="7" customWidth="1"/>
    <col min="15632" max="15638" width="4.6640625" style="7" customWidth="1"/>
    <col min="15639" max="15639" width="13.9140625" style="7" customWidth="1"/>
    <col min="15640" max="15641" width="4.6640625" style="7" customWidth="1"/>
    <col min="15642" max="15872" width="8.4140625" style="7"/>
    <col min="15873" max="15873" width="8.4140625" style="7" bestFit="1"/>
    <col min="15874" max="15874" width="23.83203125" style="7" bestFit="1" customWidth="1"/>
    <col min="15875" max="15875" width="4.9140625" style="7" bestFit="1" customWidth="1"/>
    <col min="15876" max="15876" width="8.83203125" style="7" bestFit="1" customWidth="1"/>
    <col min="15877" max="15877" width="25.08203125" style="7" customWidth="1"/>
    <col min="15878" max="15878" width="15.08203125" style="7" bestFit="1" customWidth="1"/>
    <col min="15879" max="15881" width="7.83203125" style="7" customWidth="1"/>
    <col min="15882" max="15882" width="9.58203125" style="7" bestFit="1" customWidth="1"/>
    <col min="15883" max="15883" width="10.6640625" style="7" bestFit="1" customWidth="1"/>
    <col min="15884" max="15884" width="4.9140625" style="7" bestFit="1" customWidth="1"/>
    <col min="15885" max="15885" width="8.58203125" style="7" customWidth="1"/>
    <col min="15886" max="15887" width="9.5" style="7" customWidth="1"/>
    <col min="15888" max="15894" width="4.6640625" style="7" customWidth="1"/>
    <col min="15895" max="15895" width="13.9140625" style="7" customWidth="1"/>
    <col min="15896" max="15897" width="4.6640625" style="7" customWidth="1"/>
    <col min="15898" max="16128" width="8.4140625" style="7"/>
    <col min="16129" max="16129" width="8.4140625" style="7" bestFit="1"/>
    <col min="16130" max="16130" width="23.83203125" style="7" bestFit="1" customWidth="1"/>
    <col min="16131" max="16131" width="4.9140625" style="7" bestFit="1" customWidth="1"/>
    <col min="16132" max="16132" width="8.83203125" style="7" bestFit="1" customWidth="1"/>
    <col min="16133" max="16133" width="25.08203125" style="7" customWidth="1"/>
    <col min="16134" max="16134" width="15.08203125" style="7" bestFit="1" customWidth="1"/>
    <col min="16135" max="16137" width="7.83203125" style="7" customWidth="1"/>
    <col min="16138" max="16138" width="9.58203125" style="7" bestFit="1" customWidth="1"/>
    <col min="16139" max="16139" width="10.6640625" style="7" bestFit="1" customWidth="1"/>
    <col min="16140" max="16140" width="4.9140625" style="7" bestFit="1" customWidth="1"/>
    <col min="16141" max="16141" width="8.58203125" style="7" customWidth="1"/>
    <col min="16142" max="16143" width="9.5" style="7" customWidth="1"/>
    <col min="16144" max="16150" width="4.6640625" style="7" customWidth="1"/>
    <col min="16151" max="16151" width="13.9140625" style="7" customWidth="1"/>
    <col min="16152" max="16153" width="4.6640625" style="7" customWidth="1"/>
    <col min="16154" max="16384" width="8.4140625" style="7"/>
  </cols>
  <sheetData>
    <row r="1" spans="1:25" s="10" customFormat="1" ht="14.5" thickBot="1" x14ac:dyDescent="0.25">
      <c r="A1" s="5" t="s">
        <v>24</v>
      </c>
      <c r="B1" s="6" t="s">
        <v>176</v>
      </c>
      <c r="C1" s="7"/>
      <c r="D1" s="8" t="s">
        <v>25</v>
      </c>
      <c r="E1" s="6" t="s">
        <v>177</v>
      </c>
      <c r="F1" s="9"/>
      <c r="G1" s="5" t="s">
        <v>26</v>
      </c>
      <c r="H1" s="5" t="s">
        <v>27</v>
      </c>
      <c r="J1" s="11"/>
      <c r="K1" s="12"/>
      <c r="L1" s="13"/>
      <c r="M1" s="13"/>
    </row>
    <row r="2" spans="1:25" ht="39.5" thickBot="1" x14ac:dyDescent="0.25">
      <c r="A2" s="8" t="s">
        <v>28</v>
      </c>
      <c r="B2" s="6" t="s">
        <v>178</v>
      </c>
      <c r="C2" s="14"/>
      <c r="D2" s="15" t="s">
        <v>179</v>
      </c>
      <c r="E2" s="6" t="s">
        <v>180</v>
      </c>
      <c r="F2" s="16"/>
      <c r="G2" s="6"/>
      <c r="H2" s="6"/>
      <c r="L2" s="13"/>
      <c r="M2" s="13"/>
      <c r="R2" s="19"/>
      <c r="S2" s="19"/>
      <c r="T2" s="19"/>
      <c r="U2" s="19"/>
      <c r="V2" s="19"/>
      <c r="W2" s="19"/>
      <c r="X2" s="19"/>
      <c r="Y2" s="19"/>
    </row>
    <row r="3" spans="1:25" ht="14.5" thickBot="1" x14ac:dyDescent="0.25">
      <c r="A3" s="8"/>
      <c r="B3" s="20"/>
      <c r="E3" s="20"/>
      <c r="F3" s="21"/>
      <c r="L3" s="22">
        <v>1</v>
      </c>
      <c r="M3" s="8" t="s">
        <v>29</v>
      </c>
    </row>
    <row r="4" spans="1:25" ht="14.5" thickBot="1" x14ac:dyDescent="0.25">
      <c r="A4" s="8" t="s">
        <v>30</v>
      </c>
      <c r="B4" s="6">
        <v>14</v>
      </c>
      <c r="E4" s="23" t="s">
        <v>31</v>
      </c>
      <c r="F4" s="24"/>
      <c r="I4" s="8" t="s">
        <v>32</v>
      </c>
      <c r="J4" s="25"/>
      <c r="K4" s="26"/>
      <c r="L4" s="22">
        <v>2</v>
      </c>
      <c r="M4" s="8" t="s">
        <v>33</v>
      </c>
    </row>
    <row r="5" spans="1:25" x14ac:dyDescent="0.2">
      <c r="A5" s="8" t="s">
        <v>34</v>
      </c>
      <c r="B5" s="27">
        <f>SUM(K8:K43)</f>
        <v>1626254</v>
      </c>
      <c r="E5" s="23" t="s">
        <v>35</v>
      </c>
      <c r="F5" s="24"/>
      <c r="I5" s="8" t="s">
        <v>36</v>
      </c>
      <c r="J5" s="25"/>
      <c r="K5" s="28">
        <f>SUM(K8:K47)</f>
        <v>1626254</v>
      </c>
      <c r="L5" s="22">
        <v>3</v>
      </c>
      <c r="M5" s="8" t="s">
        <v>37</v>
      </c>
    </row>
    <row r="6" spans="1:25" ht="13" x14ac:dyDescent="0.2">
      <c r="A6" s="29"/>
      <c r="B6" s="20"/>
      <c r="D6" s="30"/>
      <c r="E6" s="23" t="s">
        <v>38</v>
      </c>
      <c r="F6" s="21"/>
      <c r="G6" s="20"/>
      <c r="H6" s="20"/>
      <c r="I6" s="20"/>
      <c r="J6" s="31"/>
      <c r="K6" s="32"/>
      <c r="L6" s="22">
        <v>4</v>
      </c>
      <c r="M6" s="33" t="s">
        <v>39</v>
      </c>
      <c r="P6" s="34"/>
      <c r="Q6" s="34"/>
      <c r="R6" s="34"/>
      <c r="S6" s="34"/>
      <c r="T6" s="34"/>
      <c r="U6" s="34"/>
      <c r="V6" s="34"/>
      <c r="W6" s="34"/>
      <c r="X6" s="34"/>
      <c r="Y6" s="34"/>
    </row>
    <row r="7" spans="1:25" ht="52" x14ac:dyDescent="0.2">
      <c r="A7" s="35" t="s">
        <v>40</v>
      </c>
      <c r="B7" s="36" t="s">
        <v>41</v>
      </c>
      <c r="C7" s="36" t="s">
        <v>42</v>
      </c>
      <c r="D7" s="36" t="s">
        <v>43</v>
      </c>
      <c r="E7" s="37" t="s">
        <v>44</v>
      </c>
      <c r="F7" s="35" t="s">
        <v>45</v>
      </c>
      <c r="G7" s="36" t="s">
        <v>46</v>
      </c>
      <c r="H7" s="36" t="s">
        <v>47</v>
      </c>
      <c r="I7" s="36" t="s">
        <v>48</v>
      </c>
      <c r="J7" s="38" t="s">
        <v>49</v>
      </c>
      <c r="K7" s="38" t="s">
        <v>50</v>
      </c>
      <c r="L7" s="39" t="s">
        <v>51</v>
      </c>
      <c r="M7" s="39" t="s">
        <v>52</v>
      </c>
      <c r="N7" s="36" t="s">
        <v>53</v>
      </c>
      <c r="O7" s="36" t="s">
        <v>54</v>
      </c>
      <c r="P7" s="40" t="s">
        <v>55</v>
      </c>
      <c r="Q7" s="40" t="s">
        <v>37</v>
      </c>
      <c r="R7" s="40" t="s">
        <v>56</v>
      </c>
      <c r="S7" s="40" t="s">
        <v>57</v>
      </c>
      <c r="T7" s="40" t="s">
        <v>58</v>
      </c>
      <c r="U7" s="40" t="s">
        <v>59</v>
      </c>
      <c r="V7" s="40" t="s">
        <v>39</v>
      </c>
      <c r="W7" s="40" t="s">
        <v>60</v>
      </c>
      <c r="X7" s="40" t="s">
        <v>61</v>
      </c>
      <c r="Y7" s="40" t="s">
        <v>62</v>
      </c>
    </row>
    <row r="8" spans="1:25" ht="78" x14ac:dyDescent="0.2">
      <c r="A8" s="41">
        <v>1</v>
      </c>
      <c r="B8" s="42" t="s">
        <v>78</v>
      </c>
      <c r="C8" s="42" t="s">
        <v>79</v>
      </c>
      <c r="D8" s="42" t="s">
        <v>80</v>
      </c>
      <c r="E8" s="42" t="s">
        <v>81</v>
      </c>
      <c r="F8" s="43" t="s">
        <v>82</v>
      </c>
      <c r="G8" s="42" t="s">
        <v>83</v>
      </c>
      <c r="H8" s="42" t="s">
        <v>84</v>
      </c>
      <c r="I8" s="42"/>
      <c r="J8" s="96"/>
      <c r="K8" s="96">
        <v>452053</v>
      </c>
      <c r="L8" s="101" t="s">
        <v>85</v>
      </c>
      <c r="M8" s="43"/>
      <c r="N8" s="44">
        <v>43159</v>
      </c>
      <c r="O8" s="44">
        <v>43179</v>
      </c>
      <c r="P8" s="45" t="s">
        <v>63</v>
      </c>
      <c r="Q8" s="45" t="s">
        <v>63</v>
      </c>
      <c r="R8" s="45" t="s">
        <v>75</v>
      </c>
      <c r="S8" s="45" t="s">
        <v>75</v>
      </c>
      <c r="T8" s="45" t="s">
        <v>63</v>
      </c>
      <c r="U8" s="45" t="s">
        <v>63</v>
      </c>
      <c r="V8" s="45" t="s">
        <v>63</v>
      </c>
      <c r="W8" s="42" t="s">
        <v>86</v>
      </c>
      <c r="X8" s="45" t="s">
        <v>75</v>
      </c>
      <c r="Y8" s="45" t="s">
        <v>63</v>
      </c>
    </row>
    <row r="9" spans="1:25" ht="39" x14ac:dyDescent="0.2">
      <c r="A9" s="41">
        <v>2</v>
      </c>
      <c r="B9" s="42" t="s">
        <v>87</v>
      </c>
      <c r="C9" s="42" t="s">
        <v>69</v>
      </c>
      <c r="D9" s="42" t="s">
        <v>88</v>
      </c>
      <c r="E9" s="42" t="s">
        <v>89</v>
      </c>
      <c r="F9" s="43"/>
      <c r="G9" s="42"/>
      <c r="H9" s="42" t="s">
        <v>90</v>
      </c>
      <c r="I9" s="42"/>
      <c r="J9" s="96"/>
      <c r="K9" s="96">
        <v>52996</v>
      </c>
      <c r="L9" s="101" t="s">
        <v>91</v>
      </c>
      <c r="M9" s="42"/>
      <c r="N9" s="44">
        <v>43702</v>
      </c>
      <c r="O9" s="44">
        <v>43705</v>
      </c>
      <c r="P9" s="45" t="s">
        <v>63</v>
      </c>
      <c r="Q9" s="45" t="s">
        <v>63</v>
      </c>
      <c r="R9" s="45" t="s">
        <v>75</v>
      </c>
      <c r="S9" s="45" t="s">
        <v>63</v>
      </c>
      <c r="T9" s="45" t="s">
        <v>63</v>
      </c>
      <c r="U9" s="45" t="s">
        <v>63</v>
      </c>
      <c r="V9" s="45" t="s">
        <v>63</v>
      </c>
      <c r="W9" s="43" t="s">
        <v>92</v>
      </c>
      <c r="X9" s="45" t="s">
        <v>75</v>
      </c>
      <c r="Y9" s="45" t="s">
        <v>63</v>
      </c>
    </row>
    <row r="10" spans="1:25" ht="39" x14ac:dyDescent="0.2">
      <c r="A10" s="41">
        <v>3</v>
      </c>
      <c r="B10" s="42" t="s">
        <v>93</v>
      </c>
      <c r="C10" s="42" t="s">
        <v>69</v>
      </c>
      <c r="D10" s="42" t="s">
        <v>94</v>
      </c>
      <c r="E10" s="42" t="s">
        <v>95</v>
      </c>
      <c r="F10" s="43"/>
      <c r="G10" s="42" t="s">
        <v>96</v>
      </c>
      <c r="H10" s="42" t="s">
        <v>97</v>
      </c>
      <c r="I10" s="42"/>
      <c r="J10" s="96"/>
      <c r="K10" s="96">
        <v>294524</v>
      </c>
      <c r="L10" s="101" t="s">
        <v>98</v>
      </c>
      <c r="M10" s="43"/>
      <c r="N10" s="44">
        <v>44372</v>
      </c>
      <c r="O10" s="44">
        <v>44682</v>
      </c>
      <c r="P10" s="45" t="s">
        <v>63</v>
      </c>
      <c r="Q10" s="45" t="s">
        <v>63</v>
      </c>
      <c r="R10" s="45" t="s">
        <v>99</v>
      </c>
      <c r="S10" s="45" t="s">
        <v>63</v>
      </c>
      <c r="T10" s="45" t="s">
        <v>63</v>
      </c>
      <c r="U10" s="45" t="s">
        <v>63</v>
      </c>
      <c r="V10" s="45" t="s">
        <v>63</v>
      </c>
      <c r="W10" s="42" t="s">
        <v>181</v>
      </c>
      <c r="X10" s="45" t="s">
        <v>99</v>
      </c>
      <c r="Y10" s="45" t="s">
        <v>63</v>
      </c>
    </row>
    <row r="11" spans="1:25" ht="39" x14ac:dyDescent="0.2">
      <c r="A11" s="41">
        <v>4</v>
      </c>
      <c r="B11" s="42" t="s">
        <v>100</v>
      </c>
      <c r="C11" s="42" t="s">
        <v>69</v>
      </c>
      <c r="D11" s="42" t="s">
        <v>101</v>
      </c>
      <c r="E11" s="42" t="s">
        <v>102</v>
      </c>
      <c r="F11" s="43"/>
      <c r="G11" s="42" t="s">
        <v>103</v>
      </c>
      <c r="H11" s="42" t="s">
        <v>104</v>
      </c>
      <c r="I11" s="42"/>
      <c r="J11" s="96"/>
      <c r="K11" s="96">
        <v>11420</v>
      </c>
      <c r="L11" s="101" t="s">
        <v>98</v>
      </c>
      <c r="M11" s="43"/>
      <c r="N11" s="44">
        <v>44589</v>
      </c>
      <c r="O11" s="44" t="s">
        <v>76</v>
      </c>
      <c r="P11" s="45" t="s">
        <v>63</v>
      </c>
      <c r="Q11" s="45" t="s">
        <v>63</v>
      </c>
      <c r="R11" s="45" t="s">
        <v>99</v>
      </c>
      <c r="S11" s="45" t="s">
        <v>63</v>
      </c>
      <c r="T11" s="45" t="s">
        <v>63</v>
      </c>
      <c r="U11" s="45" t="s">
        <v>63</v>
      </c>
      <c r="V11" s="45" t="s">
        <v>63</v>
      </c>
      <c r="W11" s="42" t="s">
        <v>92</v>
      </c>
      <c r="X11" s="45" t="s">
        <v>99</v>
      </c>
      <c r="Y11" s="45" t="s">
        <v>63</v>
      </c>
    </row>
    <row r="12" spans="1:25" ht="39" x14ac:dyDescent="0.2">
      <c r="A12" s="41">
        <v>5</v>
      </c>
      <c r="B12" s="42" t="s">
        <v>105</v>
      </c>
      <c r="C12" s="42" t="s">
        <v>69</v>
      </c>
      <c r="D12" s="42" t="s">
        <v>106</v>
      </c>
      <c r="E12" s="42" t="s">
        <v>107</v>
      </c>
      <c r="F12" s="43"/>
      <c r="G12" s="42" t="s">
        <v>108</v>
      </c>
      <c r="H12" s="42" t="s">
        <v>109</v>
      </c>
      <c r="I12" s="42"/>
      <c r="J12" s="96"/>
      <c r="K12" s="96">
        <v>35359</v>
      </c>
      <c r="L12" s="101" t="s">
        <v>98</v>
      </c>
      <c r="M12" s="43"/>
      <c r="N12" s="44">
        <v>44590</v>
      </c>
      <c r="O12" s="44">
        <v>44590</v>
      </c>
      <c r="P12" s="45" t="s">
        <v>63</v>
      </c>
      <c r="Q12" s="45" t="s">
        <v>63</v>
      </c>
      <c r="R12" s="45" t="s">
        <v>99</v>
      </c>
      <c r="S12" s="45" t="s">
        <v>63</v>
      </c>
      <c r="T12" s="45" t="s">
        <v>63</v>
      </c>
      <c r="U12" s="45" t="s">
        <v>63</v>
      </c>
      <c r="V12" s="45" t="s">
        <v>63</v>
      </c>
      <c r="W12" s="42" t="s">
        <v>110</v>
      </c>
      <c r="X12" s="45" t="s">
        <v>99</v>
      </c>
      <c r="Y12" s="45" t="s">
        <v>63</v>
      </c>
    </row>
    <row r="13" spans="1:25" ht="39" x14ac:dyDescent="0.2">
      <c r="A13" s="41">
        <v>6</v>
      </c>
      <c r="B13" s="42" t="s">
        <v>111</v>
      </c>
      <c r="C13" s="42" t="s">
        <v>69</v>
      </c>
      <c r="D13" s="42" t="s">
        <v>112</v>
      </c>
      <c r="E13" s="42" t="s">
        <v>113</v>
      </c>
      <c r="F13" s="43" t="s">
        <v>114</v>
      </c>
      <c r="G13" s="42" t="s">
        <v>115</v>
      </c>
      <c r="H13" s="42" t="s">
        <v>116</v>
      </c>
      <c r="I13" s="42"/>
      <c r="J13" s="96"/>
      <c r="K13" s="96">
        <v>12931</v>
      </c>
      <c r="L13" s="101" t="s">
        <v>98</v>
      </c>
      <c r="M13" s="43"/>
      <c r="N13" s="44">
        <v>44590</v>
      </c>
      <c r="O13" s="44">
        <v>44604</v>
      </c>
      <c r="P13" s="45" t="s">
        <v>63</v>
      </c>
      <c r="Q13" s="45" t="s">
        <v>63</v>
      </c>
      <c r="R13" s="45" t="s">
        <v>99</v>
      </c>
      <c r="S13" s="45" t="s">
        <v>63</v>
      </c>
      <c r="T13" s="45" t="s">
        <v>63</v>
      </c>
      <c r="U13" s="45" t="s">
        <v>63</v>
      </c>
      <c r="V13" s="45" t="s">
        <v>63</v>
      </c>
      <c r="W13" s="42" t="s">
        <v>92</v>
      </c>
      <c r="X13" s="45" t="s">
        <v>99</v>
      </c>
      <c r="Y13" s="45" t="s">
        <v>63</v>
      </c>
    </row>
    <row r="14" spans="1:25" ht="91" x14ac:dyDescent="0.2">
      <c r="A14" s="41">
        <v>7</v>
      </c>
      <c r="B14" s="42" t="s">
        <v>117</v>
      </c>
      <c r="C14" s="42" t="s">
        <v>69</v>
      </c>
      <c r="D14" s="42" t="s">
        <v>118</v>
      </c>
      <c r="E14" s="42" t="s">
        <v>119</v>
      </c>
      <c r="F14" s="43" t="s">
        <v>120</v>
      </c>
      <c r="G14" s="42" t="s">
        <v>121</v>
      </c>
      <c r="H14" s="42" t="s">
        <v>122</v>
      </c>
      <c r="I14" s="42" t="s">
        <v>123</v>
      </c>
      <c r="J14" s="96"/>
      <c r="K14" s="96">
        <v>117007</v>
      </c>
      <c r="L14" s="101" t="s">
        <v>98</v>
      </c>
      <c r="M14" s="43"/>
      <c r="N14" s="44">
        <v>44687</v>
      </c>
      <c r="O14" s="44">
        <v>44744</v>
      </c>
      <c r="P14" s="45" t="s">
        <v>63</v>
      </c>
      <c r="Q14" s="45" t="s">
        <v>63</v>
      </c>
      <c r="R14" s="45" t="s">
        <v>99</v>
      </c>
      <c r="S14" s="45" t="s">
        <v>63</v>
      </c>
      <c r="T14" s="45" t="s">
        <v>63</v>
      </c>
      <c r="U14" s="45" t="s">
        <v>63</v>
      </c>
      <c r="V14" s="45" t="s">
        <v>63</v>
      </c>
      <c r="W14" s="42" t="s">
        <v>124</v>
      </c>
      <c r="X14" s="45" t="s">
        <v>99</v>
      </c>
      <c r="Y14" s="45" t="s">
        <v>63</v>
      </c>
    </row>
    <row r="15" spans="1:25" ht="39" x14ac:dyDescent="0.2">
      <c r="A15" s="41">
        <v>8</v>
      </c>
      <c r="B15" s="42" t="s">
        <v>125</v>
      </c>
      <c r="C15" s="42" t="s">
        <v>69</v>
      </c>
      <c r="D15" s="42" t="s">
        <v>126</v>
      </c>
      <c r="E15" s="42" t="s">
        <v>127</v>
      </c>
      <c r="F15" s="43" t="s">
        <v>128</v>
      </c>
      <c r="G15" s="42" t="s">
        <v>129</v>
      </c>
      <c r="H15" s="42" t="s">
        <v>130</v>
      </c>
      <c r="I15" s="42"/>
      <c r="J15" s="96"/>
      <c r="K15" s="96">
        <f>199920+105838</f>
        <v>305758</v>
      </c>
      <c r="L15" s="101" t="s">
        <v>131</v>
      </c>
      <c r="M15" s="42"/>
      <c r="N15" s="44">
        <v>44724</v>
      </c>
      <c r="O15" s="44" t="s">
        <v>76</v>
      </c>
      <c r="P15" s="45" t="s">
        <v>63</v>
      </c>
      <c r="Q15" s="45" t="s">
        <v>63</v>
      </c>
      <c r="R15" s="45" t="s">
        <v>63</v>
      </c>
      <c r="S15" s="45" t="s">
        <v>99</v>
      </c>
      <c r="T15" s="45" t="s">
        <v>63</v>
      </c>
      <c r="U15" s="45" t="s">
        <v>63</v>
      </c>
      <c r="V15" s="45" t="s">
        <v>63</v>
      </c>
      <c r="W15" s="42" t="s">
        <v>181</v>
      </c>
      <c r="X15" s="45" t="s">
        <v>99</v>
      </c>
      <c r="Y15" s="45" t="s">
        <v>63</v>
      </c>
    </row>
    <row r="16" spans="1:25" ht="52" x14ac:dyDescent="0.2">
      <c r="A16" s="41">
        <v>9</v>
      </c>
      <c r="B16" s="42" t="s">
        <v>132</v>
      </c>
      <c r="C16" s="42" t="s">
        <v>69</v>
      </c>
      <c r="D16" s="42" t="s">
        <v>133</v>
      </c>
      <c r="E16" s="42" t="s">
        <v>134</v>
      </c>
      <c r="F16" s="43" t="s">
        <v>135</v>
      </c>
      <c r="G16" s="42" t="s">
        <v>136</v>
      </c>
      <c r="H16" s="42"/>
      <c r="I16" s="42"/>
      <c r="J16" s="96"/>
      <c r="K16" s="96">
        <v>50000</v>
      </c>
      <c r="L16" s="101" t="s">
        <v>131</v>
      </c>
      <c r="M16" s="42"/>
      <c r="N16" s="44">
        <v>44755</v>
      </c>
      <c r="O16" s="44" t="s">
        <v>76</v>
      </c>
      <c r="P16" s="45" t="s">
        <v>63</v>
      </c>
      <c r="Q16" s="45" t="s">
        <v>63</v>
      </c>
      <c r="R16" s="45" t="s">
        <v>63</v>
      </c>
      <c r="S16" s="45" t="s">
        <v>99</v>
      </c>
      <c r="T16" s="45" t="s">
        <v>63</v>
      </c>
      <c r="U16" s="45" t="s">
        <v>63</v>
      </c>
      <c r="V16" s="45" t="s">
        <v>63</v>
      </c>
      <c r="W16" s="43" t="s">
        <v>137</v>
      </c>
      <c r="X16" s="45" t="s">
        <v>99</v>
      </c>
      <c r="Y16" s="45" t="s">
        <v>63</v>
      </c>
    </row>
    <row r="17" spans="1:25" ht="52" x14ac:dyDescent="0.2">
      <c r="A17" s="41">
        <v>10</v>
      </c>
      <c r="B17" s="42" t="s">
        <v>138</v>
      </c>
      <c r="C17" s="42" t="s">
        <v>69</v>
      </c>
      <c r="D17" s="42" t="s">
        <v>139</v>
      </c>
      <c r="E17" s="42" t="s">
        <v>140</v>
      </c>
      <c r="F17" s="43" t="s">
        <v>141</v>
      </c>
      <c r="G17" s="42" t="s">
        <v>142</v>
      </c>
      <c r="H17" s="42" t="s">
        <v>143</v>
      </c>
      <c r="I17" s="42"/>
      <c r="J17" s="96"/>
      <c r="K17" s="96">
        <v>42211</v>
      </c>
      <c r="L17" s="101" t="s">
        <v>131</v>
      </c>
      <c r="M17" s="42"/>
      <c r="N17" s="44">
        <v>44755</v>
      </c>
      <c r="O17" s="44" t="s">
        <v>76</v>
      </c>
      <c r="P17" s="45" t="s">
        <v>63</v>
      </c>
      <c r="Q17" s="45" t="s">
        <v>63</v>
      </c>
      <c r="R17" s="45" t="s">
        <v>63</v>
      </c>
      <c r="S17" s="45" t="s">
        <v>99</v>
      </c>
      <c r="T17" s="45" t="s">
        <v>63</v>
      </c>
      <c r="U17" s="45" t="s">
        <v>63</v>
      </c>
      <c r="V17" s="45" t="s">
        <v>63</v>
      </c>
      <c r="W17" s="43" t="s">
        <v>144</v>
      </c>
      <c r="X17" s="45" t="s">
        <v>99</v>
      </c>
      <c r="Y17" s="45" t="s">
        <v>63</v>
      </c>
    </row>
    <row r="18" spans="1:25" ht="39" x14ac:dyDescent="0.2">
      <c r="A18" s="41">
        <v>11</v>
      </c>
      <c r="B18" s="42" t="s">
        <v>145</v>
      </c>
      <c r="C18" s="42" t="s">
        <v>69</v>
      </c>
      <c r="D18" s="42" t="s">
        <v>146</v>
      </c>
      <c r="E18" s="42" t="s">
        <v>147</v>
      </c>
      <c r="F18" s="43" t="s">
        <v>148</v>
      </c>
      <c r="G18" s="42" t="s">
        <v>149</v>
      </c>
      <c r="H18" s="42" t="s">
        <v>150</v>
      </c>
      <c r="I18" s="42" t="s">
        <v>151</v>
      </c>
      <c r="J18" s="96"/>
      <c r="K18" s="96">
        <v>13734</v>
      </c>
      <c r="L18" s="101" t="s">
        <v>98</v>
      </c>
      <c r="M18" s="42"/>
      <c r="N18" s="44">
        <v>44775</v>
      </c>
      <c r="O18" s="44" t="s">
        <v>76</v>
      </c>
      <c r="P18" s="45" t="s">
        <v>63</v>
      </c>
      <c r="Q18" s="45" t="s">
        <v>63</v>
      </c>
      <c r="R18" s="45" t="s">
        <v>99</v>
      </c>
      <c r="S18" s="45" t="s">
        <v>63</v>
      </c>
      <c r="T18" s="45" t="s">
        <v>63</v>
      </c>
      <c r="U18" s="45" t="s">
        <v>63</v>
      </c>
      <c r="V18" s="45" t="s">
        <v>63</v>
      </c>
      <c r="W18" s="43" t="s">
        <v>152</v>
      </c>
      <c r="X18" s="45" t="s">
        <v>99</v>
      </c>
      <c r="Y18" s="45" t="s">
        <v>63</v>
      </c>
    </row>
    <row r="19" spans="1:25" ht="39" x14ac:dyDescent="0.2">
      <c r="A19" s="41">
        <v>12</v>
      </c>
      <c r="B19" s="42" t="s">
        <v>153</v>
      </c>
      <c r="C19" s="42" t="s">
        <v>69</v>
      </c>
      <c r="D19" s="42" t="s">
        <v>154</v>
      </c>
      <c r="E19" s="42" t="s">
        <v>155</v>
      </c>
      <c r="F19" s="43" t="s">
        <v>156</v>
      </c>
      <c r="G19" s="42" t="s">
        <v>157</v>
      </c>
      <c r="H19" s="42" t="s">
        <v>158</v>
      </c>
      <c r="I19" s="42" t="s">
        <v>159</v>
      </c>
      <c r="J19" s="96"/>
      <c r="K19" s="96">
        <v>47733</v>
      </c>
      <c r="L19" s="101" t="s">
        <v>131</v>
      </c>
      <c r="M19" s="42"/>
      <c r="N19" s="44">
        <v>44826</v>
      </c>
      <c r="O19" s="44" t="s">
        <v>76</v>
      </c>
      <c r="P19" s="45" t="s">
        <v>63</v>
      </c>
      <c r="Q19" s="45" t="s">
        <v>63</v>
      </c>
      <c r="R19" s="45" t="s">
        <v>63</v>
      </c>
      <c r="S19" s="45" t="s">
        <v>99</v>
      </c>
      <c r="T19" s="45" t="s">
        <v>63</v>
      </c>
      <c r="U19" s="45" t="s">
        <v>63</v>
      </c>
      <c r="V19" s="45" t="s">
        <v>63</v>
      </c>
      <c r="W19" s="43" t="s">
        <v>160</v>
      </c>
      <c r="X19" s="45" t="s">
        <v>99</v>
      </c>
      <c r="Y19" s="45" t="s">
        <v>63</v>
      </c>
    </row>
    <row r="20" spans="1:25" ht="39" x14ac:dyDescent="0.2">
      <c r="A20" s="41">
        <v>13</v>
      </c>
      <c r="B20" s="42" t="s">
        <v>161</v>
      </c>
      <c r="C20" s="42" t="s">
        <v>69</v>
      </c>
      <c r="D20" s="42" t="s">
        <v>71</v>
      </c>
      <c r="E20" s="42" t="s">
        <v>162</v>
      </c>
      <c r="F20" s="43" t="s">
        <v>163</v>
      </c>
      <c r="G20" s="42" t="s">
        <v>72</v>
      </c>
      <c r="H20" s="42" t="s">
        <v>73</v>
      </c>
      <c r="I20" s="42"/>
      <c r="J20" s="96"/>
      <c r="K20" s="96">
        <v>124400</v>
      </c>
      <c r="L20" s="101" t="s">
        <v>131</v>
      </c>
      <c r="M20" s="42"/>
      <c r="N20" s="44" t="s">
        <v>76</v>
      </c>
      <c r="O20" s="44" t="s">
        <v>76</v>
      </c>
      <c r="P20" s="45" t="s">
        <v>63</v>
      </c>
      <c r="Q20" s="45" t="s">
        <v>63</v>
      </c>
      <c r="R20" s="45" t="s">
        <v>99</v>
      </c>
      <c r="S20" s="45" t="s">
        <v>63</v>
      </c>
      <c r="T20" s="45" t="s">
        <v>63</v>
      </c>
      <c r="U20" s="45" t="s">
        <v>63</v>
      </c>
      <c r="V20" s="45" t="s">
        <v>63</v>
      </c>
      <c r="W20" s="43" t="s">
        <v>164</v>
      </c>
      <c r="X20" s="45" t="s">
        <v>63</v>
      </c>
      <c r="Y20" s="45" t="s">
        <v>63</v>
      </c>
    </row>
    <row r="21" spans="1:25" ht="39" x14ac:dyDescent="0.2">
      <c r="A21" s="41">
        <v>14</v>
      </c>
      <c r="B21" s="42" t="s">
        <v>165</v>
      </c>
      <c r="C21" s="42" t="s">
        <v>69</v>
      </c>
      <c r="D21" s="42" t="s">
        <v>112</v>
      </c>
      <c r="E21" s="42" t="s">
        <v>70</v>
      </c>
      <c r="F21" s="43" t="s">
        <v>166</v>
      </c>
      <c r="G21" s="42" t="s">
        <v>167</v>
      </c>
      <c r="H21" s="42" t="s">
        <v>168</v>
      </c>
      <c r="I21" s="42"/>
      <c r="J21" s="96"/>
      <c r="K21" s="96">
        <v>29986</v>
      </c>
      <c r="L21" s="101" t="s">
        <v>131</v>
      </c>
      <c r="M21" s="42"/>
      <c r="N21" s="44">
        <v>44708</v>
      </c>
      <c r="O21" s="44" t="s">
        <v>76</v>
      </c>
      <c r="P21" s="45" t="s">
        <v>63</v>
      </c>
      <c r="Q21" s="45" t="s">
        <v>63</v>
      </c>
      <c r="R21" s="45" t="s">
        <v>99</v>
      </c>
      <c r="S21" s="45" t="s">
        <v>63</v>
      </c>
      <c r="T21" s="45" t="s">
        <v>63</v>
      </c>
      <c r="U21" s="45" t="s">
        <v>63</v>
      </c>
      <c r="V21" s="45" t="s">
        <v>63</v>
      </c>
      <c r="W21" s="43" t="s">
        <v>181</v>
      </c>
      <c r="X21" s="45" t="s">
        <v>99</v>
      </c>
      <c r="Y21" s="45" t="s">
        <v>63</v>
      </c>
    </row>
    <row r="22" spans="1:25" ht="52" x14ac:dyDescent="0.2">
      <c r="A22" s="41">
        <v>15</v>
      </c>
      <c r="B22" s="42" t="s">
        <v>169</v>
      </c>
      <c r="C22" s="42" t="s">
        <v>69</v>
      </c>
      <c r="D22" s="42" t="s">
        <v>170</v>
      </c>
      <c r="E22" s="42" t="s">
        <v>171</v>
      </c>
      <c r="F22" s="43" t="s">
        <v>74</v>
      </c>
      <c r="G22" s="42" t="s">
        <v>172</v>
      </c>
      <c r="H22" s="42" t="s">
        <v>173</v>
      </c>
      <c r="I22" s="42" t="s">
        <v>74</v>
      </c>
      <c r="J22" s="96" t="s">
        <v>74</v>
      </c>
      <c r="K22" s="96">
        <v>36142</v>
      </c>
      <c r="L22" s="101">
        <v>1</v>
      </c>
      <c r="M22" s="42" t="s">
        <v>74</v>
      </c>
      <c r="N22" s="44" t="s">
        <v>174</v>
      </c>
      <c r="O22" s="44" t="s">
        <v>174</v>
      </c>
      <c r="P22" s="45" t="s">
        <v>63</v>
      </c>
      <c r="Q22" s="45" t="s">
        <v>63</v>
      </c>
      <c r="R22" s="45" t="s">
        <v>63</v>
      </c>
      <c r="S22" s="45" t="s">
        <v>63</v>
      </c>
      <c r="T22" s="45" t="s">
        <v>63</v>
      </c>
      <c r="U22" s="45" t="s">
        <v>63</v>
      </c>
      <c r="V22" s="45" t="s">
        <v>63</v>
      </c>
      <c r="W22" s="43" t="s">
        <v>175</v>
      </c>
      <c r="X22" s="45" t="s">
        <v>99</v>
      </c>
      <c r="Y22" s="45" t="s">
        <v>63</v>
      </c>
    </row>
    <row r="23" spans="1:25" ht="13" x14ac:dyDescent="0.2">
      <c r="A23" s="41">
        <v>16</v>
      </c>
      <c r="B23" s="42" t="s">
        <v>64</v>
      </c>
      <c r="C23" s="42" t="s">
        <v>64</v>
      </c>
      <c r="D23" s="42" t="s">
        <v>64</v>
      </c>
      <c r="E23" s="42" t="s">
        <v>64</v>
      </c>
      <c r="F23" s="42" t="s">
        <v>64</v>
      </c>
      <c r="G23" s="42" t="s">
        <v>64</v>
      </c>
      <c r="H23" s="42" t="s">
        <v>64</v>
      </c>
      <c r="I23" s="42" t="s">
        <v>64</v>
      </c>
      <c r="J23" s="42" t="s">
        <v>64</v>
      </c>
      <c r="K23" s="42" t="s">
        <v>64</v>
      </c>
      <c r="L23" s="42" t="s">
        <v>64</v>
      </c>
      <c r="M23" s="42" t="s">
        <v>64</v>
      </c>
      <c r="N23" s="44" t="s">
        <v>76</v>
      </c>
      <c r="O23" s="44" t="s">
        <v>76</v>
      </c>
      <c r="P23" s="45" t="s">
        <v>63</v>
      </c>
      <c r="Q23" s="45" t="s">
        <v>63</v>
      </c>
      <c r="R23" s="45" t="s">
        <v>63</v>
      </c>
      <c r="S23" s="45" t="s">
        <v>63</v>
      </c>
      <c r="T23" s="45" t="s">
        <v>63</v>
      </c>
      <c r="U23" s="45" t="s">
        <v>63</v>
      </c>
      <c r="V23" s="45" t="s">
        <v>63</v>
      </c>
      <c r="W23" s="43" t="s">
        <v>77</v>
      </c>
      <c r="X23" s="45" t="s">
        <v>63</v>
      </c>
      <c r="Y23" s="45" t="s">
        <v>63</v>
      </c>
    </row>
    <row r="24" spans="1:25" ht="13" x14ac:dyDescent="0.2">
      <c r="A24" s="41">
        <v>17</v>
      </c>
      <c r="B24" s="42" t="s">
        <v>64</v>
      </c>
      <c r="C24" s="42" t="s">
        <v>64</v>
      </c>
      <c r="D24" s="42" t="s">
        <v>64</v>
      </c>
      <c r="E24" s="42" t="s">
        <v>64</v>
      </c>
      <c r="F24" s="42" t="s">
        <v>64</v>
      </c>
      <c r="G24" s="42" t="s">
        <v>64</v>
      </c>
      <c r="H24" s="42" t="s">
        <v>64</v>
      </c>
      <c r="I24" s="42" t="s">
        <v>64</v>
      </c>
      <c r="J24" s="42" t="s">
        <v>64</v>
      </c>
      <c r="K24" s="42" t="s">
        <v>64</v>
      </c>
      <c r="L24" s="42" t="s">
        <v>64</v>
      </c>
      <c r="M24" s="42" t="s">
        <v>64</v>
      </c>
      <c r="N24" s="44" t="s">
        <v>76</v>
      </c>
      <c r="O24" s="44" t="s">
        <v>76</v>
      </c>
      <c r="P24" s="45" t="s">
        <v>63</v>
      </c>
      <c r="Q24" s="45" t="s">
        <v>63</v>
      </c>
      <c r="R24" s="45" t="s">
        <v>63</v>
      </c>
      <c r="S24" s="45" t="s">
        <v>63</v>
      </c>
      <c r="T24" s="45" t="s">
        <v>63</v>
      </c>
      <c r="U24" s="45" t="s">
        <v>63</v>
      </c>
      <c r="V24" s="45" t="s">
        <v>63</v>
      </c>
      <c r="W24" s="43" t="s">
        <v>77</v>
      </c>
      <c r="X24" s="45" t="s">
        <v>63</v>
      </c>
      <c r="Y24" s="45" t="s">
        <v>63</v>
      </c>
    </row>
    <row r="25" spans="1:25" ht="13" x14ac:dyDescent="0.2">
      <c r="A25" s="41">
        <v>18</v>
      </c>
      <c r="B25" s="42" t="s">
        <v>64</v>
      </c>
      <c r="C25" s="42" t="s">
        <v>64</v>
      </c>
      <c r="D25" s="42" t="s">
        <v>64</v>
      </c>
      <c r="E25" s="42" t="s">
        <v>64</v>
      </c>
      <c r="F25" s="42" t="s">
        <v>64</v>
      </c>
      <c r="G25" s="42" t="s">
        <v>64</v>
      </c>
      <c r="H25" s="42" t="s">
        <v>64</v>
      </c>
      <c r="I25" s="42" t="s">
        <v>64</v>
      </c>
      <c r="J25" s="42" t="s">
        <v>64</v>
      </c>
      <c r="K25" s="42" t="s">
        <v>64</v>
      </c>
      <c r="L25" s="42" t="s">
        <v>64</v>
      </c>
      <c r="M25" s="42" t="s">
        <v>64</v>
      </c>
      <c r="N25" s="44" t="s">
        <v>76</v>
      </c>
      <c r="O25" s="44" t="s">
        <v>76</v>
      </c>
      <c r="P25" s="45" t="s">
        <v>63</v>
      </c>
      <c r="Q25" s="45" t="s">
        <v>63</v>
      </c>
      <c r="R25" s="45" t="s">
        <v>63</v>
      </c>
      <c r="S25" s="45" t="s">
        <v>63</v>
      </c>
      <c r="T25" s="45" t="s">
        <v>63</v>
      </c>
      <c r="U25" s="45" t="s">
        <v>63</v>
      </c>
      <c r="V25" s="45" t="s">
        <v>63</v>
      </c>
      <c r="W25" s="43" t="s">
        <v>77</v>
      </c>
      <c r="X25" s="45" t="s">
        <v>63</v>
      </c>
      <c r="Y25" s="45" t="s">
        <v>63</v>
      </c>
    </row>
    <row r="26" spans="1:25" ht="13" x14ac:dyDescent="0.2">
      <c r="A26" s="41">
        <v>19</v>
      </c>
      <c r="B26" s="42" t="s">
        <v>64</v>
      </c>
      <c r="C26" s="42" t="s">
        <v>64</v>
      </c>
      <c r="D26" s="42" t="s">
        <v>64</v>
      </c>
      <c r="E26" s="42" t="s">
        <v>64</v>
      </c>
      <c r="F26" s="42" t="s">
        <v>64</v>
      </c>
      <c r="G26" s="42" t="s">
        <v>64</v>
      </c>
      <c r="H26" s="42" t="s">
        <v>64</v>
      </c>
      <c r="I26" s="42" t="s">
        <v>64</v>
      </c>
      <c r="J26" s="42" t="s">
        <v>64</v>
      </c>
      <c r="K26" s="42" t="s">
        <v>64</v>
      </c>
      <c r="L26" s="42" t="s">
        <v>64</v>
      </c>
      <c r="M26" s="42" t="s">
        <v>64</v>
      </c>
      <c r="N26" s="44" t="s">
        <v>76</v>
      </c>
      <c r="O26" s="44" t="s">
        <v>76</v>
      </c>
      <c r="P26" s="45" t="s">
        <v>63</v>
      </c>
      <c r="Q26" s="45" t="s">
        <v>63</v>
      </c>
      <c r="R26" s="45" t="s">
        <v>63</v>
      </c>
      <c r="S26" s="45" t="s">
        <v>63</v>
      </c>
      <c r="T26" s="45" t="s">
        <v>63</v>
      </c>
      <c r="U26" s="45" t="s">
        <v>63</v>
      </c>
      <c r="V26" s="45" t="s">
        <v>63</v>
      </c>
      <c r="W26" s="43" t="s">
        <v>77</v>
      </c>
      <c r="X26" s="45" t="s">
        <v>63</v>
      </c>
      <c r="Y26" s="45" t="s">
        <v>63</v>
      </c>
    </row>
    <row r="27" spans="1:25" ht="13" x14ac:dyDescent="0.2">
      <c r="A27" s="41">
        <v>20</v>
      </c>
      <c r="B27" s="42" t="s">
        <v>64</v>
      </c>
      <c r="C27" s="42" t="s">
        <v>64</v>
      </c>
      <c r="D27" s="42" t="s">
        <v>64</v>
      </c>
      <c r="E27" s="42" t="s">
        <v>64</v>
      </c>
      <c r="F27" s="42" t="s">
        <v>64</v>
      </c>
      <c r="G27" s="42" t="s">
        <v>64</v>
      </c>
      <c r="H27" s="42" t="s">
        <v>64</v>
      </c>
      <c r="I27" s="42" t="s">
        <v>64</v>
      </c>
      <c r="J27" s="42" t="s">
        <v>64</v>
      </c>
      <c r="K27" s="42" t="s">
        <v>64</v>
      </c>
      <c r="L27" s="42" t="s">
        <v>64</v>
      </c>
      <c r="M27" s="42" t="s">
        <v>64</v>
      </c>
      <c r="N27" s="44" t="s">
        <v>76</v>
      </c>
      <c r="O27" s="44" t="s">
        <v>76</v>
      </c>
      <c r="P27" s="45" t="s">
        <v>63</v>
      </c>
      <c r="Q27" s="45" t="s">
        <v>63</v>
      </c>
      <c r="R27" s="45" t="s">
        <v>63</v>
      </c>
      <c r="S27" s="45" t="s">
        <v>63</v>
      </c>
      <c r="T27" s="45" t="s">
        <v>63</v>
      </c>
      <c r="U27" s="45" t="s">
        <v>63</v>
      </c>
      <c r="V27" s="45" t="s">
        <v>63</v>
      </c>
      <c r="W27" s="43" t="s">
        <v>77</v>
      </c>
      <c r="X27" s="45" t="s">
        <v>63</v>
      </c>
      <c r="Y27" s="45" t="s">
        <v>63</v>
      </c>
    </row>
    <row r="28" spans="1:25" ht="13" x14ac:dyDescent="0.2">
      <c r="A28" s="41">
        <v>21</v>
      </c>
      <c r="B28" s="42" t="s">
        <v>64</v>
      </c>
      <c r="C28" s="42" t="s">
        <v>64</v>
      </c>
      <c r="D28" s="42" t="s">
        <v>64</v>
      </c>
      <c r="E28" s="42" t="s">
        <v>64</v>
      </c>
      <c r="F28" s="42" t="s">
        <v>64</v>
      </c>
      <c r="G28" s="42" t="s">
        <v>64</v>
      </c>
      <c r="H28" s="42" t="s">
        <v>64</v>
      </c>
      <c r="I28" s="42" t="s">
        <v>64</v>
      </c>
      <c r="J28" s="42" t="s">
        <v>64</v>
      </c>
      <c r="K28" s="42" t="s">
        <v>64</v>
      </c>
      <c r="L28" s="42" t="s">
        <v>64</v>
      </c>
      <c r="M28" s="42" t="s">
        <v>64</v>
      </c>
      <c r="N28" s="44" t="s">
        <v>76</v>
      </c>
      <c r="O28" s="44" t="s">
        <v>76</v>
      </c>
      <c r="P28" s="45" t="s">
        <v>63</v>
      </c>
      <c r="Q28" s="45" t="s">
        <v>63</v>
      </c>
      <c r="R28" s="45" t="s">
        <v>63</v>
      </c>
      <c r="S28" s="45" t="s">
        <v>63</v>
      </c>
      <c r="T28" s="45" t="s">
        <v>63</v>
      </c>
      <c r="U28" s="45" t="s">
        <v>63</v>
      </c>
      <c r="V28" s="45" t="s">
        <v>63</v>
      </c>
      <c r="W28" s="43" t="s">
        <v>77</v>
      </c>
      <c r="X28" s="45" t="s">
        <v>63</v>
      </c>
      <c r="Y28" s="45" t="s">
        <v>63</v>
      </c>
    </row>
    <row r="29" spans="1:25" ht="13" x14ac:dyDescent="0.2">
      <c r="A29" s="41">
        <v>22</v>
      </c>
      <c r="B29" s="42" t="s">
        <v>64</v>
      </c>
      <c r="C29" s="42" t="s">
        <v>64</v>
      </c>
      <c r="D29" s="42" t="s">
        <v>64</v>
      </c>
      <c r="E29" s="42" t="s">
        <v>64</v>
      </c>
      <c r="F29" s="42" t="s">
        <v>64</v>
      </c>
      <c r="G29" s="42" t="s">
        <v>64</v>
      </c>
      <c r="H29" s="42" t="s">
        <v>64</v>
      </c>
      <c r="I29" s="42" t="s">
        <v>64</v>
      </c>
      <c r="J29" s="42" t="s">
        <v>64</v>
      </c>
      <c r="K29" s="42" t="s">
        <v>64</v>
      </c>
      <c r="L29" s="42" t="s">
        <v>64</v>
      </c>
      <c r="M29" s="42" t="s">
        <v>64</v>
      </c>
      <c r="N29" s="44" t="s">
        <v>76</v>
      </c>
      <c r="O29" s="44" t="s">
        <v>76</v>
      </c>
      <c r="P29" s="45" t="s">
        <v>63</v>
      </c>
      <c r="Q29" s="45" t="s">
        <v>63</v>
      </c>
      <c r="R29" s="45" t="s">
        <v>63</v>
      </c>
      <c r="S29" s="45" t="s">
        <v>63</v>
      </c>
      <c r="T29" s="45" t="s">
        <v>63</v>
      </c>
      <c r="U29" s="45" t="s">
        <v>63</v>
      </c>
      <c r="V29" s="45" t="s">
        <v>63</v>
      </c>
      <c r="W29" s="43" t="s">
        <v>77</v>
      </c>
      <c r="X29" s="45" t="s">
        <v>63</v>
      </c>
      <c r="Y29" s="45" t="s">
        <v>63</v>
      </c>
    </row>
    <row r="30" spans="1:25" ht="13" x14ac:dyDescent="0.2">
      <c r="A30" s="41">
        <v>23</v>
      </c>
      <c r="B30" s="42" t="s">
        <v>64</v>
      </c>
      <c r="C30" s="42" t="s">
        <v>64</v>
      </c>
      <c r="D30" s="42" t="s">
        <v>64</v>
      </c>
      <c r="E30" s="42" t="s">
        <v>64</v>
      </c>
      <c r="F30" s="42" t="s">
        <v>64</v>
      </c>
      <c r="G30" s="42" t="s">
        <v>64</v>
      </c>
      <c r="H30" s="42" t="s">
        <v>64</v>
      </c>
      <c r="I30" s="42" t="s">
        <v>64</v>
      </c>
      <c r="J30" s="42" t="s">
        <v>64</v>
      </c>
      <c r="K30" s="42" t="s">
        <v>64</v>
      </c>
      <c r="L30" s="42" t="s">
        <v>64</v>
      </c>
      <c r="M30" s="42" t="s">
        <v>64</v>
      </c>
      <c r="N30" s="44" t="s">
        <v>76</v>
      </c>
      <c r="O30" s="44" t="s">
        <v>76</v>
      </c>
      <c r="P30" s="45" t="s">
        <v>63</v>
      </c>
      <c r="Q30" s="45" t="s">
        <v>63</v>
      </c>
      <c r="R30" s="45" t="s">
        <v>63</v>
      </c>
      <c r="S30" s="45" t="s">
        <v>63</v>
      </c>
      <c r="T30" s="45" t="s">
        <v>63</v>
      </c>
      <c r="U30" s="45" t="s">
        <v>63</v>
      </c>
      <c r="V30" s="45" t="s">
        <v>63</v>
      </c>
      <c r="W30" s="43" t="s">
        <v>77</v>
      </c>
      <c r="X30" s="45" t="s">
        <v>63</v>
      </c>
      <c r="Y30" s="45" t="s">
        <v>63</v>
      </c>
    </row>
    <row r="31" spans="1:25" ht="13" x14ac:dyDescent="0.2">
      <c r="A31" s="41">
        <v>24</v>
      </c>
      <c r="B31" s="42" t="s">
        <v>64</v>
      </c>
      <c r="C31" s="42" t="s">
        <v>64</v>
      </c>
      <c r="D31" s="42" t="s">
        <v>64</v>
      </c>
      <c r="E31" s="42" t="s">
        <v>64</v>
      </c>
      <c r="F31" s="42" t="s">
        <v>64</v>
      </c>
      <c r="G31" s="42" t="s">
        <v>64</v>
      </c>
      <c r="H31" s="42" t="s">
        <v>64</v>
      </c>
      <c r="I31" s="42" t="s">
        <v>64</v>
      </c>
      <c r="J31" s="42" t="s">
        <v>64</v>
      </c>
      <c r="K31" s="42" t="s">
        <v>64</v>
      </c>
      <c r="L31" s="42" t="s">
        <v>64</v>
      </c>
      <c r="M31" s="42" t="s">
        <v>64</v>
      </c>
      <c r="N31" s="44" t="s">
        <v>76</v>
      </c>
      <c r="O31" s="44" t="s">
        <v>76</v>
      </c>
      <c r="P31" s="45" t="s">
        <v>63</v>
      </c>
      <c r="Q31" s="45" t="s">
        <v>63</v>
      </c>
      <c r="R31" s="45" t="s">
        <v>63</v>
      </c>
      <c r="S31" s="45" t="s">
        <v>63</v>
      </c>
      <c r="T31" s="45" t="s">
        <v>63</v>
      </c>
      <c r="U31" s="45" t="s">
        <v>63</v>
      </c>
      <c r="V31" s="45" t="s">
        <v>63</v>
      </c>
      <c r="W31" s="43" t="s">
        <v>77</v>
      </c>
      <c r="X31" s="45" t="s">
        <v>63</v>
      </c>
      <c r="Y31" s="45" t="s">
        <v>63</v>
      </c>
    </row>
    <row r="32" spans="1:25" ht="13" x14ac:dyDescent="0.2">
      <c r="A32" s="41">
        <v>25</v>
      </c>
      <c r="B32" s="42" t="s">
        <v>64</v>
      </c>
      <c r="C32" s="42" t="s">
        <v>64</v>
      </c>
      <c r="D32" s="42" t="s">
        <v>64</v>
      </c>
      <c r="E32" s="42" t="s">
        <v>64</v>
      </c>
      <c r="F32" s="42" t="s">
        <v>64</v>
      </c>
      <c r="G32" s="42" t="s">
        <v>64</v>
      </c>
      <c r="H32" s="42" t="s">
        <v>64</v>
      </c>
      <c r="I32" s="42" t="s">
        <v>64</v>
      </c>
      <c r="J32" s="42" t="s">
        <v>64</v>
      </c>
      <c r="K32" s="42" t="s">
        <v>64</v>
      </c>
      <c r="L32" s="42" t="s">
        <v>64</v>
      </c>
      <c r="M32" s="42" t="s">
        <v>64</v>
      </c>
      <c r="N32" s="44" t="s">
        <v>76</v>
      </c>
      <c r="O32" s="44" t="s">
        <v>76</v>
      </c>
      <c r="P32" s="45" t="s">
        <v>63</v>
      </c>
      <c r="Q32" s="45" t="s">
        <v>63</v>
      </c>
      <c r="R32" s="45" t="s">
        <v>63</v>
      </c>
      <c r="S32" s="45" t="s">
        <v>63</v>
      </c>
      <c r="T32" s="45" t="s">
        <v>63</v>
      </c>
      <c r="U32" s="45" t="s">
        <v>63</v>
      </c>
      <c r="V32" s="45" t="s">
        <v>63</v>
      </c>
      <c r="W32" s="43" t="s">
        <v>77</v>
      </c>
      <c r="X32" s="45" t="s">
        <v>63</v>
      </c>
      <c r="Y32" s="45" t="s">
        <v>63</v>
      </c>
    </row>
    <row r="33" spans="1:25" ht="13" x14ac:dyDescent="0.2">
      <c r="A33" s="41">
        <v>26</v>
      </c>
      <c r="B33" s="42" t="s">
        <v>64</v>
      </c>
      <c r="C33" s="42" t="s">
        <v>64</v>
      </c>
      <c r="D33" s="42" t="s">
        <v>64</v>
      </c>
      <c r="E33" s="42" t="s">
        <v>64</v>
      </c>
      <c r="F33" s="42" t="s">
        <v>64</v>
      </c>
      <c r="G33" s="42" t="s">
        <v>64</v>
      </c>
      <c r="H33" s="42" t="s">
        <v>64</v>
      </c>
      <c r="I33" s="42" t="s">
        <v>64</v>
      </c>
      <c r="J33" s="42" t="s">
        <v>64</v>
      </c>
      <c r="K33" s="42" t="s">
        <v>64</v>
      </c>
      <c r="L33" s="42" t="s">
        <v>64</v>
      </c>
      <c r="M33" s="42" t="s">
        <v>64</v>
      </c>
      <c r="N33" s="44" t="s">
        <v>76</v>
      </c>
      <c r="O33" s="44" t="s">
        <v>76</v>
      </c>
      <c r="P33" s="45" t="s">
        <v>65</v>
      </c>
      <c r="Q33" s="45" t="s">
        <v>65</v>
      </c>
      <c r="R33" s="45" t="s">
        <v>65</v>
      </c>
      <c r="S33" s="45" t="s">
        <v>65</v>
      </c>
      <c r="T33" s="45" t="s">
        <v>65</v>
      </c>
      <c r="U33" s="45" t="s">
        <v>65</v>
      </c>
      <c r="V33" s="45" t="s">
        <v>65</v>
      </c>
      <c r="W33" s="43" t="s">
        <v>77</v>
      </c>
      <c r="X33" s="45" t="s">
        <v>65</v>
      </c>
      <c r="Y33" s="45" t="s">
        <v>65</v>
      </c>
    </row>
    <row r="34" spans="1:25" ht="13" x14ac:dyDescent="0.2">
      <c r="A34" s="41">
        <v>27</v>
      </c>
      <c r="B34" s="42" t="s">
        <v>64</v>
      </c>
      <c r="C34" s="42" t="s">
        <v>64</v>
      </c>
      <c r="D34" s="42" t="s">
        <v>64</v>
      </c>
      <c r="E34" s="42" t="s">
        <v>64</v>
      </c>
      <c r="F34" s="42" t="s">
        <v>64</v>
      </c>
      <c r="G34" s="42" t="s">
        <v>64</v>
      </c>
      <c r="H34" s="42" t="s">
        <v>64</v>
      </c>
      <c r="I34" s="42" t="s">
        <v>64</v>
      </c>
      <c r="J34" s="42" t="s">
        <v>64</v>
      </c>
      <c r="K34" s="42" t="s">
        <v>64</v>
      </c>
      <c r="L34" s="42" t="s">
        <v>64</v>
      </c>
      <c r="M34" s="42" t="s">
        <v>64</v>
      </c>
      <c r="N34" s="44" t="s">
        <v>76</v>
      </c>
      <c r="O34" s="44" t="s">
        <v>76</v>
      </c>
      <c r="P34" s="45" t="s">
        <v>65</v>
      </c>
      <c r="Q34" s="45" t="s">
        <v>65</v>
      </c>
      <c r="R34" s="45" t="s">
        <v>65</v>
      </c>
      <c r="S34" s="45" t="s">
        <v>65</v>
      </c>
      <c r="T34" s="45" t="s">
        <v>65</v>
      </c>
      <c r="U34" s="45" t="s">
        <v>65</v>
      </c>
      <c r="V34" s="45" t="s">
        <v>65</v>
      </c>
      <c r="W34" s="43" t="s">
        <v>77</v>
      </c>
      <c r="X34" s="45" t="s">
        <v>65</v>
      </c>
      <c r="Y34" s="45" t="s">
        <v>65</v>
      </c>
    </row>
    <row r="35" spans="1:25" ht="13" x14ac:dyDescent="0.2">
      <c r="A35" s="41">
        <v>28</v>
      </c>
      <c r="B35" s="42" t="s">
        <v>64</v>
      </c>
      <c r="C35" s="42" t="s">
        <v>64</v>
      </c>
      <c r="D35" s="42" t="s">
        <v>64</v>
      </c>
      <c r="E35" s="42" t="s">
        <v>64</v>
      </c>
      <c r="F35" s="42" t="s">
        <v>64</v>
      </c>
      <c r="G35" s="42" t="s">
        <v>64</v>
      </c>
      <c r="H35" s="42" t="s">
        <v>64</v>
      </c>
      <c r="I35" s="42" t="s">
        <v>64</v>
      </c>
      <c r="J35" s="42" t="s">
        <v>64</v>
      </c>
      <c r="K35" s="42" t="s">
        <v>64</v>
      </c>
      <c r="L35" s="42" t="s">
        <v>64</v>
      </c>
      <c r="M35" s="42" t="s">
        <v>64</v>
      </c>
      <c r="N35" s="44" t="s">
        <v>76</v>
      </c>
      <c r="O35" s="44" t="s">
        <v>76</v>
      </c>
      <c r="P35" s="45" t="s">
        <v>65</v>
      </c>
      <c r="Q35" s="45" t="s">
        <v>65</v>
      </c>
      <c r="R35" s="45" t="s">
        <v>65</v>
      </c>
      <c r="S35" s="45" t="s">
        <v>65</v>
      </c>
      <c r="T35" s="45" t="s">
        <v>65</v>
      </c>
      <c r="U35" s="45" t="s">
        <v>65</v>
      </c>
      <c r="V35" s="45" t="s">
        <v>65</v>
      </c>
      <c r="W35" s="43" t="s">
        <v>77</v>
      </c>
      <c r="X35" s="45" t="s">
        <v>65</v>
      </c>
      <c r="Y35" s="45" t="s">
        <v>65</v>
      </c>
    </row>
    <row r="36" spans="1:25" ht="13" x14ac:dyDescent="0.2">
      <c r="A36" s="41">
        <v>29</v>
      </c>
      <c r="B36" s="42" t="s">
        <v>64</v>
      </c>
      <c r="C36" s="42" t="s">
        <v>64</v>
      </c>
      <c r="D36" s="42" t="s">
        <v>64</v>
      </c>
      <c r="E36" s="42" t="s">
        <v>64</v>
      </c>
      <c r="F36" s="42" t="s">
        <v>64</v>
      </c>
      <c r="G36" s="42" t="s">
        <v>64</v>
      </c>
      <c r="H36" s="42" t="s">
        <v>64</v>
      </c>
      <c r="I36" s="42" t="s">
        <v>64</v>
      </c>
      <c r="J36" s="42" t="s">
        <v>64</v>
      </c>
      <c r="K36" s="42" t="s">
        <v>64</v>
      </c>
      <c r="L36" s="42" t="s">
        <v>64</v>
      </c>
      <c r="M36" s="42" t="s">
        <v>64</v>
      </c>
      <c r="N36" s="44" t="s">
        <v>76</v>
      </c>
      <c r="O36" s="44" t="s">
        <v>76</v>
      </c>
      <c r="P36" s="45" t="s">
        <v>65</v>
      </c>
      <c r="Q36" s="45" t="s">
        <v>65</v>
      </c>
      <c r="R36" s="45" t="s">
        <v>65</v>
      </c>
      <c r="S36" s="45" t="s">
        <v>65</v>
      </c>
      <c r="T36" s="45" t="s">
        <v>65</v>
      </c>
      <c r="U36" s="45" t="s">
        <v>65</v>
      </c>
      <c r="V36" s="45" t="s">
        <v>65</v>
      </c>
      <c r="W36" s="43" t="s">
        <v>77</v>
      </c>
      <c r="X36" s="45" t="s">
        <v>65</v>
      </c>
      <c r="Y36" s="45" t="s">
        <v>65</v>
      </c>
    </row>
    <row r="37" spans="1:25" ht="13" x14ac:dyDescent="0.2">
      <c r="A37" s="41">
        <v>30</v>
      </c>
      <c r="B37" s="42" t="s">
        <v>64</v>
      </c>
      <c r="C37" s="42" t="s">
        <v>64</v>
      </c>
      <c r="D37" s="42" t="s">
        <v>64</v>
      </c>
      <c r="E37" s="42" t="s">
        <v>64</v>
      </c>
      <c r="F37" s="42" t="s">
        <v>64</v>
      </c>
      <c r="G37" s="42" t="s">
        <v>64</v>
      </c>
      <c r="H37" s="42" t="s">
        <v>64</v>
      </c>
      <c r="I37" s="42" t="s">
        <v>64</v>
      </c>
      <c r="J37" s="42" t="s">
        <v>64</v>
      </c>
      <c r="K37" s="42" t="s">
        <v>64</v>
      </c>
      <c r="L37" s="42" t="s">
        <v>64</v>
      </c>
      <c r="M37" s="42" t="s">
        <v>64</v>
      </c>
      <c r="N37" s="44" t="s">
        <v>76</v>
      </c>
      <c r="O37" s="44" t="s">
        <v>76</v>
      </c>
      <c r="P37" s="45" t="s">
        <v>65</v>
      </c>
      <c r="Q37" s="45" t="s">
        <v>65</v>
      </c>
      <c r="R37" s="45" t="s">
        <v>65</v>
      </c>
      <c r="S37" s="45" t="s">
        <v>65</v>
      </c>
      <c r="T37" s="45" t="s">
        <v>65</v>
      </c>
      <c r="U37" s="45" t="s">
        <v>65</v>
      </c>
      <c r="V37" s="45" t="s">
        <v>65</v>
      </c>
      <c r="W37" s="43" t="s">
        <v>77</v>
      </c>
      <c r="X37" s="45" t="s">
        <v>65</v>
      </c>
      <c r="Y37" s="45" t="s">
        <v>65</v>
      </c>
    </row>
    <row r="38" spans="1:25" ht="13" x14ac:dyDescent="0.2">
      <c r="A38" s="41">
        <v>31</v>
      </c>
      <c r="B38" s="42" t="s">
        <v>64</v>
      </c>
      <c r="C38" s="42" t="s">
        <v>64</v>
      </c>
      <c r="D38" s="42" t="s">
        <v>64</v>
      </c>
      <c r="E38" s="42" t="s">
        <v>64</v>
      </c>
      <c r="F38" s="42" t="s">
        <v>64</v>
      </c>
      <c r="G38" s="42" t="s">
        <v>64</v>
      </c>
      <c r="H38" s="42" t="s">
        <v>64</v>
      </c>
      <c r="I38" s="42" t="s">
        <v>64</v>
      </c>
      <c r="J38" s="42" t="s">
        <v>64</v>
      </c>
      <c r="K38" s="42" t="s">
        <v>64</v>
      </c>
      <c r="L38" s="42" t="s">
        <v>64</v>
      </c>
      <c r="M38" s="42" t="s">
        <v>64</v>
      </c>
      <c r="N38" s="44" t="s">
        <v>76</v>
      </c>
      <c r="O38" s="44" t="s">
        <v>76</v>
      </c>
      <c r="P38" s="45" t="s">
        <v>65</v>
      </c>
      <c r="Q38" s="45" t="s">
        <v>65</v>
      </c>
      <c r="R38" s="45" t="s">
        <v>65</v>
      </c>
      <c r="S38" s="45" t="s">
        <v>65</v>
      </c>
      <c r="T38" s="45" t="s">
        <v>65</v>
      </c>
      <c r="U38" s="45" t="s">
        <v>65</v>
      </c>
      <c r="V38" s="45" t="s">
        <v>65</v>
      </c>
      <c r="W38" s="43" t="s">
        <v>77</v>
      </c>
      <c r="X38" s="45" t="s">
        <v>65</v>
      </c>
      <c r="Y38" s="45" t="s">
        <v>65</v>
      </c>
    </row>
    <row r="39" spans="1:25" ht="13" x14ac:dyDescent="0.2">
      <c r="A39" s="41">
        <v>32</v>
      </c>
      <c r="B39" s="42" t="s">
        <v>64</v>
      </c>
      <c r="C39" s="42" t="s">
        <v>64</v>
      </c>
      <c r="D39" s="42" t="s">
        <v>64</v>
      </c>
      <c r="E39" s="42" t="s">
        <v>64</v>
      </c>
      <c r="F39" s="42" t="s">
        <v>64</v>
      </c>
      <c r="G39" s="42" t="s">
        <v>64</v>
      </c>
      <c r="H39" s="42" t="s">
        <v>64</v>
      </c>
      <c r="I39" s="42" t="s">
        <v>64</v>
      </c>
      <c r="J39" s="42" t="s">
        <v>64</v>
      </c>
      <c r="K39" s="42" t="s">
        <v>64</v>
      </c>
      <c r="L39" s="42" t="s">
        <v>64</v>
      </c>
      <c r="M39" s="42" t="s">
        <v>64</v>
      </c>
      <c r="N39" s="44" t="s">
        <v>76</v>
      </c>
      <c r="O39" s="44" t="s">
        <v>76</v>
      </c>
      <c r="P39" s="45" t="s">
        <v>65</v>
      </c>
      <c r="Q39" s="45" t="s">
        <v>65</v>
      </c>
      <c r="R39" s="45" t="s">
        <v>65</v>
      </c>
      <c r="S39" s="45" t="s">
        <v>65</v>
      </c>
      <c r="T39" s="45" t="s">
        <v>65</v>
      </c>
      <c r="U39" s="45" t="s">
        <v>65</v>
      </c>
      <c r="V39" s="45" t="s">
        <v>65</v>
      </c>
      <c r="W39" s="43" t="s">
        <v>77</v>
      </c>
      <c r="X39" s="45" t="s">
        <v>65</v>
      </c>
      <c r="Y39" s="45" t="s">
        <v>65</v>
      </c>
    </row>
    <row r="40" spans="1:25" ht="13" x14ac:dyDescent="0.2">
      <c r="A40" s="41">
        <v>33</v>
      </c>
      <c r="B40" s="42" t="s">
        <v>64</v>
      </c>
      <c r="C40" s="42" t="s">
        <v>64</v>
      </c>
      <c r="D40" s="42" t="s">
        <v>64</v>
      </c>
      <c r="E40" s="42" t="s">
        <v>64</v>
      </c>
      <c r="F40" s="42" t="s">
        <v>64</v>
      </c>
      <c r="G40" s="42" t="s">
        <v>64</v>
      </c>
      <c r="H40" s="42" t="s">
        <v>64</v>
      </c>
      <c r="I40" s="42" t="s">
        <v>64</v>
      </c>
      <c r="J40" s="42" t="s">
        <v>64</v>
      </c>
      <c r="K40" s="42" t="s">
        <v>64</v>
      </c>
      <c r="L40" s="42" t="s">
        <v>64</v>
      </c>
      <c r="M40" s="42" t="s">
        <v>64</v>
      </c>
      <c r="N40" s="44" t="s">
        <v>76</v>
      </c>
      <c r="O40" s="44" t="s">
        <v>76</v>
      </c>
      <c r="P40" s="45" t="s">
        <v>65</v>
      </c>
      <c r="Q40" s="45" t="s">
        <v>65</v>
      </c>
      <c r="R40" s="45" t="s">
        <v>65</v>
      </c>
      <c r="S40" s="45" t="s">
        <v>65</v>
      </c>
      <c r="T40" s="45" t="s">
        <v>65</v>
      </c>
      <c r="U40" s="45" t="s">
        <v>65</v>
      </c>
      <c r="V40" s="45" t="s">
        <v>65</v>
      </c>
      <c r="W40" s="43" t="s">
        <v>77</v>
      </c>
      <c r="X40" s="45" t="s">
        <v>65</v>
      </c>
      <c r="Y40" s="45" t="s">
        <v>65</v>
      </c>
    </row>
    <row r="41" spans="1:25" ht="13" x14ac:dyDescent="0.2">
      <c r="A41" s="41">
        <v>34</v>
      </c>
      <c r="B41" s="42" t="s">
        <v>64</v>
      </c>
      <c r="C41" s="42" t="s">
        <v>64</v>
      </c>
      <c r="D41" s="42" t="s">
        <v>64</v>
      </c>
      <c r="E41" s="42" t="s">
        <v>64</v>
      </c>
      <c r="F41" s="42" t="s">
        <v>64</v>
      </c>
      <c r="G41" s="42" t="s">
        <v>64</v>
      </c>
      <c r="H41" s="42" t="s">
        <v>64</v>
      </c>
      <c r="I41" s="42" t="s">
        <v>64</v>
      </c>
      <c r="J41" s="42" t="s">
        <v>64</v>
      </c>
      <c r="K41" s="42" t="s">
        <v>64</v>
      </c>
      <c r="L41" s="42" t="s">
        <v>64</v>
      </c>
      <c r="M41" s="42" t="s">
        <v>64</v>
      </c>
      <c r="N41" s="44" t="s">
        <v>76</v>
      </c>
      <c r="O41" s="44" t="s">
        <v>76</v>
      </c>
      <c r="P41" s="45" t="s">
        <v>65</v>
      </c>
      <c r="Q41" s="45" t="s">
        <v>65</v>
      </c>
      <c r="R41" s="45" t="s">
        <v>65</v>
      </c>
      <c r="S41" s="45" t="s">
        <v>65</v>
      </c>
      <c r="T41" s="45" t="s">
        <v>65</v>
      </c>
      <c r="U41" s="45" t="s">
        <v>65</v>
      </c>
      <c r="V41" s="45" t="s">
        <v>65</v>
      </c>
      <c r="W41" s="43" t="s">
        <v>77</v>
      </c>
      <c r="X41" s="45" t="s">
        <v>65</v>
      </c>
      <c r="Y41" s="45" t="s">
        <v>65</v>
      </c>
    </row>
    <row r="42" spans="1:25" ht="13" x14ac:dyDescent="0.2">
      <c r="A42" s="41">
        <v>35</v>
      </c>
      <c r="B42" s="42" t="s">
        <v>64</v>
      </c>
      <c r="C42" s="42" t="s">
        <v>64</v>
      </c>
      <c r="D42" s="42" t="s">
        <v>64</v>
      </c>
      <c r="E42" s="42" t="s">
        <v>64</v>
      </c>
      <c r="F42" s="42" t="s">
        <v>64</v>
      </c>
      <c r="G42" s="42" t="s">
        <v>64</v>
      </c>
      <c r="H42" s="42" t="s">
        <v>64</v>
      </c>
      <c r="I42" s="42" t="s">
        <v>64</v>
      </c>
      <c r="J42" s="42" t="s">
        <v>64</v>
      </c>
      <c r="K42" s="42" t="s">
        <v>64</v>
      </c>
      <c r="L42" s="42" t="s">
        <v>64</v>
      </c>
      <c r="M42" s="42" t="s">
        <v>64</v>
      </c>
      <c r="N42" s="44" t="s">
        <v>76</v>
      </c>
      <c r="O42" s="44" t="s">
        <v>76</v>
      </c>
      <c r="P42" s="45" t="s">
        <v>65</v>
      </c>
      <c r="Q42" s="45" t="s">
        <v>65</v>
      </c>
      <c r="R42" s="45" t="s">
        <v>65</v>
      </c>
      <c r="S42" s="45" t="s">
        <v>65</v>
      </c>
      <c r="T42" s="45" t="s">
        <v>65</v>
      </c>
      <c r="U42" s="45" t="s">
        <v>65</v>
      </c>
      <c r="V42" s="45" t="s">
        <v>65</v>
      </c>
      <c r="W42" s="43" t="s">
        <v>77</v>
      </c>
      <c r="X42" s="45" t="s">
        <v>65</v>
      </c>
      <c r="Y42" s="45" t="s">
        <v>65</v>
      </c>
    </row>
    <row r="43" spans="1:25" ht="13" x14ac:dyDescent="0.2">
      <c r="A43" s="41">
        <v>36</v>
      </c>
      <c r="B43" s="42" t="s">
        <v>64</v>
      </c>
      <c r="C43" s="42" t="s">
        <v>64</v>
      </c>
      <c r="D43" s="42" t="s">
        <v>64</v>
      </c>
      <c r="E43" s="42" t="s">
        <v>64</v>
      </c>
      <c r="F43" s="42" t="s">
        <v>64</v>
      </c>
      <c r="G43" s="42" t="s">
        <v>64</v>
      </c>
      <c r="H43" s="42" t="s">
        <v>64</v>
      </c>
      <c r="I43" s="42" t="s">
        <v>64</v>
      </c>
      <c r="J43" s="42" t="s">
        <v>64</v>
      </c>
      <c r="K43" s="42" t="s">
        <v>64</v>
      </c>
      <c r="L43" s="42" t="s">
        <v>64</v>
      </c>
      <c r="M43" s="42" t="s">
        <v>64</v>
      </c>
      <c r="N43" s="44" t="s">
        <v>76</v>
      </c>
      <c r="O43" s="44" t="s">
        <v>76</v>
      </c>
      <c r="P43" s="45" t="s">
        <v>65</v>
      </c>
      <c r="Q43" s="45" t="s">
        <v>65</v>
      </c>
      <c r="R43" s="45" t="s">
        <v>65</v>
      </c>
      <c r="S43" s="45" t="s">
        <v>65</v>
      </c>
      <c r="T43" s="45" t="s">
        <v>65</v>
      </c>
      <c r="U43" s="45" t="s">
        <v>65</v>
      </c>
      <c r="V43" s="45" t="s">
        <v>65</v>
      </c>
      <c r="W43" s="43" t="s">
        <v>77</v>
      </c>
      <c r="X43" s="45" t="s">
        <v>65</v>
      </c>
      <c r="Y43" s="45" t="s">
        <v>65</v>
      </c>
    </row>
    <row r="44" spans="1:25" ht="13" x14ac:dyDescent="0.2">
      <c r="A44" s="41">
        <v>37</v>
      </c>
      <c r="B44" s="42" t="s">
        <v>64</v>
      </c>
      <c r="C44" s="42" t="s">
        <v>64</v>
      </c>
      <c r="D44" s="42" t="s">
        <v>64</v>
      </c>
      <c r="E44" s="42" t="s">
        <v>64</v>
      </c>
      <c r="F44" s="42" t="s">
        <v>64</v>
      </c>
      <c r="G44" s="42" t="s">
        <v>64</v>
      </c>
      <c r="H44" s="42" t="s">
        <v>64</v>
      </c>
      <c r="I44" s="42" t="s">
        <v>64</v>
      </c>
      <c r="J44" s="42" t="s">
        <v>64</v>
      </c>
      <c r="K44" s="42" t="s">
        <v>64</v>
      </c>
      <c r="L44" s="42" t="s">
        <v>64</v>
      </c>
      <c r="M44" s="42" t="s">
        <v>64</v>
      </c>
      <c r="N44" s="44" t="s">
        <v>76</v>
      </c>
      <c r="O44" s="44" t="s">
        <v>76</v>
      </c>
      <c r="P44" s="45" t="s">
        <v>65</v>
      </c>
      <c r="Q44" s="45" t="s">
        <v>65</v>
      </c>
      <c r="R44" s="45" t="s">
        <v>65</v>
      </c>
      <c r="S44" s="45" t="s">
        <v>65</v>
      </c>
      <c r="T44" s="45" t="s">
        <v>65</v>
      </c>
      <c r="U44" s="45" t="s">
        <v>65</v>
      </c>
      <c r="V44" s="45" t="s">
        <v>65</v>
      </c>
      <c r="W44" s="43" t="s">
        <v>77</v>
      </c>
      <c r="X44" s="45" t="s">
        <v>65</v>
      </c>
      <c r="Y44" s="45" t="s">
        <v>65</v>
      </c>
    </row>
    <row r="45" spans="1:25" ht="13" x14ac:dyDescent="0.2">
      <c r="A45" s="41">
        <v>38</v>
      </c>
      <c r="B45" s="42" t="s">
        <v>64</v>
      </c>
      <c r="C45" s="42" t="s">
        <v>64</v>
      </c>
      <c r="D45" s="42" t="s">
        <v>64</v>
      </c>
      <c r="E45" s="42" t="s">
        <v>64</v>
      </c>
      <c r="F45" s="42" t="s">
        <v>64</v>
      </c>
      <c r="G45" s="42" t="s">
        <v>64</v>
      </c>
      <c r="H45" s="42" t="s">
        <v>64</v>
      </c>
      <c r="I45" s="42" t="s">
        <v>64</v>
      </c>
      <c r="J45" s="42" t="s">
        <v>64</v>
      </c>
      <c r="K45" s="42" t="s">
        <v>64</v>
      </c>
      <c r="L45" s="42" t="s">
        <v>64</v>
      </c>
      <c r="M45" s="42" t="s">
        <v>64</v>
      </c>
      <c r="N45" s="44" t="s">
        <v>76</v>
      </c>
      <c r="O45" s="44" t="s">
        <v>76</v>
      </c>
      <c r="P45" s="45" t="s">
        <v>65</v>
      </c>
      <c r="Q45" s="45" t="s">
        <v>65</v>
      </c>
      <c r="R45" s="45" t="s">
        <v>65</v>
      </c>
      <c r="S45" s="45" t="s">
        <v>65</v>
      </c>
      <c r="T45" s="45" t="s">
        <v>65</v>
      </c>
      <c r="U45" s="45" t="s">
        <v>65</v>
      </c>
      <c r="V45" s="45" t="s">
        <v>65</v>
      </c>
      <c r="W45" s="43" t="s">
        <v>77</v>
      </c>
      <c r="X45" s="45" t="s">
        <v>65</v>
      </c>
      <c r="Y45" s="45" t="s">
        <v>65</v>
      </c>
    </row>
    <row r="46" spans="1:25" ht="13" x14ac:dyDescent="0.2">
      <c r="A46" s="41">
        <v>39</v>
      </c>
      <c r="B46" s="42" t="s">
        <v>64</v>
      </c>
      <c r="C46" s="42" t="s">
        <v>64</v>
      </c>
      <c r="D46" s="42" t="s">
        <v>64</v>
      </c>
      <c r="E46" s="42" t="s">
        <v>64</v>
      </c>
      <c r="F46" s="42" t="s">
        <v>64</v>
      </c>
      <c r="G46" s="42" t="s">
        <v>64</v>
      </c>
      <c r="H46" s="42" t="s">
        <v>64</v>
      </c>
      <c r="I46" s="42" t="s">
        <v>64</v>
      </c>
      <c r="J46" s="42" t="s">
        <v>64</v>
      </c>
      <c r="K46" s="42" t="s">
        <v>64</v>
      </c>
      <c r="L46" s="42" t="s">
        <v>64</v>
      </c>
      <c r="M46" s="42" t="s">
        <v>64</v>
      </c>
      <c r="N46" s="44" t="s">
        <v>76</v>
      </c>
      <c r="O46" s="44" t="s">
        <v>76</v>
      </c>
      <c r="P46" s="45" t="s">
        <v>65</v>
      </c>
      <c r="Q46" s="45" t="s">
        <v>65</v>
      </c>
      <c r="R46" s="45" t="s">
        <v>65</v>
      </c>
      <c r="S46" s="45" t="s">
        <v>65</v>
      </c>
      <c r="T46" s="45" t="s">
        <v>65</v>
      </c>
      <c r="U46" s="45" t="s">
        <v>65</v>
      </c>
      <c r="V46" s="45" t="s">
        <v>65</v>
      </c>
      <c r="W46" s="43" t="s">
        <v>77</v>
      </c>
      <c r="X46" s="45" t="s">
        <v>65</v>
      </c>
      <c r="Y46" s="45" t="s">
        <v>65</v>
      </c>
    </row>
    <row r="47" spans="1:25" ht="13" x14ac:dyDescent="0.2">
      <c r="A47" s="41">
        <v>40</v>
      </c>
      <c r="B47" s="42" t="s">
        <v>64</v>
      </c>
      <c r="C47" s="42" t="s">
        <v>64</v>
      </c>
      <c r="D47" s="42" t="s">
        <v>64</v>
      </c>
      <c r="E47" s="42" t="s">
        <v>64</v>
      </c>
      <c r="F47" s="42" t="s">
        <v>64</v>
      </c>
      <c r="G47" s="42" t="s">
        <v>64</v>
      </c>
      <c r="H47" s="42" t="s">
        <v>64</v>
      </c>
      <c r="I47" s="42" t="s">
        <v>64</v>
      </c>
      <c r="J47" s="42" t="s">
        <v>64</v>
      </c>
      <c r="K47" s="42" t="s">
        <v>64</v>
      </c>
      <c r="L47" s="42" t="s">
        <v>64</v>
      </c>
      <c r="M47" s="42" t="s">
        <v>64</v>
      </c>
      <c r="N47" s="44" t="s">
        <v>76</v>
      </c>
      <c r="O47" s="44" t="s">
        <v>76</v>
      </c>
      <c r="P47" s="45" t="s">
        <v>65</v>
      </c>
      <c r="Q47" s="45" t="s">
        <v>65</v>
      </c>
      <c r="R47" s="45" t="s">
        <v>65</v>
      </c>
      <c r="S47" s="45" t="s">
        <v>65</v>
      </c>
      <c r="T47" s="45" t="s">
        <v>65</v>
      </c>
      <c r="U47" s="45" t="s">
        <v>65</v>
      </c>
      <c r="V47" s="45" t="s">
        <v>65</v>
      </c>
      <c r="W47" s="43" t="s">
        <v>77</v>
      </c>
      <c r="X47" s="45" t="s">
        <v>65</v>
      </c>
      <c r="Y47" s="45" t="s">
        <v>65</v>
      </c>
    </row>
    <row r="48" spans="1:25" ht="13" x14ac:dyDescent="0.2">
      <c r="B48" s="20"/>
      <c r="C48" s="20"/>
      <c r="D48" s="20"/>
      <c r="E48" s="20"/>
      <c r="F48" s="21"/>
      <c r="G48" s="20"/>
      <c r="H48" s="20"/>
      <c r="I48" s="20"/>
      <c r="J48" s="31"/>
      <c r="K48" s="31"/>
      <c r="L48" s="21"/>
      <c r="M48" s="20"/>
      <c r="N48" s="20"/>
      <c r="O48" s="20"/>
      <c r="P48" s="20"/>
      <c r="Q48" s="20"/>
      <c r="R48" s="20"/>
      <c r="S48" s="20"/>
      <c r="T48" s="20"/>
      <c r="U48" s="20"/>
      <c r="V48" s="20"/>
      <c r="W48" s="20"/>
      <c r="X48" s="20"/>
      <c r="Y48" s="20"/>
    </row>
    <row r="49" spans="2:25" ht="13" x14ac:dyDescent="0.2">
      <c r="B49" s="20"/>
      <c r="C49" s="20"/>
      <c r="D49" s="20"/>
      <c r="E49" s="20"/>
      <c r="F49" s="21"/>
      <c r="G49" s="20"/>
      <c r="H49" s="20"/>
      <c r="I49" s="20"/>
      <c r="J49" s="31"/>
      <c r="K49" s="31"/>
      <c r="L49" s="21"/>
      <c r="M49" s="20"/>
      <c r="N49" s="20"/>
      <c r="O49" s="20"/>
      <c r="P49" s="20"/>
      <c r="Q49" s="20"/>
      <c r="R49" s="20"/>
      <c r="S49" s="20"/>
      <c r="T49" s="20"/>
      <c r="U49" s="20"/>
      <c r="V49" s="20"/>
      <c r="W49" s="20"/>
      <c r="X49" s="20"/>
      <c r="Y49" s="20"/>
    </row>
    <row r="50" spans="2:25" ht="13" x14ac:dyDescent="0.2">
      <c r="B50" s="20"/>
      <c r="C50" s="20"/>
      <c r="D50" s="20"/>
      <c r="E50" s="20"/>
      <c r="F50" s="21"/>
      <c r="G50" s="20"/>
      <c r="H50" s="20"/>
      <c r="I50" s="20"/>
      <c r="J50" s="31"/>
      <c r="K50" s="31"/>
      <c r="L50" s="21"/>
      <c r="M50" s="20"/>
      <c r="N50" s="20"/>
      <c r="O50" s="20"/>
      <c r="P50" s="20"/>
      <c r="Q50" s="20"/>
      <c r="R50" s="20"/>
      <c r="S50" s="20"/>
      <c r="T50" s="20"/>
      <c r="U50" s="20"/>
      <c r="V50" s="20"/>
      <c r="W50" s="20"/>
      <c r="X50" s="20"/>
      <c r="Y50" s="20"/>
    </row>
    <row r="51" spans="2:25" ht="13" x14ac:dyDescent="0.2">
      <c r="B51" s="20"/>
      <c r="C51" s="20"/>
      <c r="D51" s="20"/>
      <c r="E51" s="20"/>
      <c r="F51" s="21"/>
      <c r="G51" s="20"/>
      <c r="H51" s="20"/>
      <c r="I51" s="20"/>
      <c r="J51" s="31"/>
      <c r="K51" s="31"/>
      <c r="L51" s="21"/>
      <c r="M51" s="20"/>
      <c r="N51" s="20"/>
      <c r="O51" s="20"/>
      <c r="P51" s="20"/>
      <c r="Q51" s="20"/>
      <c r="R51" s="20"/>
      <c r="S51" s="20"/>
      <c r="T51" s="20"/>
      <c r="U51" s="20"/>
      <c r="V51" s="20"/>
      <c r="W51" s="20"/>
      <c r="X51" s="20"/>
      <c r="Y51" s="20"/>
    </row>
    <row r="52" spans="2:25" ht="13" x14ac:dyDescent="0.2">
      <c r="B52" s="20"/>
      <c r="C52" s="20"/>
      <c r="D52" s="20"/>
      <c r="E52" s="20"/>
      <c r="F52" s="21"/>
      <c r="G52" s="20"/>
      <c r="H52" s="20"/>
      <c r="I52" s="20"/>
      <c r="J52" s="31"/>
      <c r="K52" s="31"/>
      <c r="L52" s="21"/>
      <c r="M52" s="20"/>
      <c r="N52" s="20"/>
      <c r="O52" s="20"/>
      <c r="P52" s="20"/>
      <c r="Q52" s="20"/>
      <c r="R52" s="20"/>
      <c r="S52" s="20"/>
      <c r="T52" s="20"/>
      <c r="U52" s="20"/>
      <c r="V52" s="20"/>
      <c r="W52" s="20"/>
      <c r="X52" s="20"/>
      <c r="Y52" s="20"/>
    </row>
    <row r="53" spans="2:25" ht="13" x14ac:dyDescent="0.2">
      <c r="B53" s="20"/>
      <c r="C53" s="20"/>
      <c r="D53" s="20"/>
      <c r="E53" s="20"/>
      <c r="F53" s="21"/>
      <c r="G53" s="20"/>
      <c r="H53" s="20"/>
      <c r="I53" s="20"/>
      <c r="J53" s="31"/>
      <c r="K53" s="31"/>
      <c r="L53" s="21"/>
      <c r="M53" s="20"/>
      <c r="N53" s="20"/>
      <c r="O53" s="20"/>
      <c r="P53" s="20"/>
      <c r="Q53" s="20"/>
      <c r="R53" s="20"/>
      <c r="S53" s="20"/>
      <c r="T53" s="20"/>
      <c r="U53" s="20"/>
      <c r="V53" s="20"/>
      <c r="W53" s="20"/>
      <c r="X53" s="20"/>
      <c r="Y53" s="20"/>
    </row>
    <row r="54" spans="2:25" ht="13" x14ac:dyDescent="0.2">
      <c r="B54" s="20"/>
      <c r="C54" s="20"/>
      <c r="D54" s="20"/>
      <c r="E54" s="20"/>
      <c r="F54" s="21"/>
      <c r="G54" s="20"/>
      <c r="H54" s="20"/>
      <c r="I54" s="20"/>
      <c r="J54" s="31"/>
      <c r="K54" s="31"/>
      <c r="L54" s="21"/>
      <c r="M54" s="20"/>
      <c r="N54" s="20"/>
      <c r="O54" s="20"/>
      <c r="P54" s="20"/>
      <c r="Q54" s="20"/>
      <c r="R54" s="20"/>
      <c r="S54" s="20"/>
      <c r="T54" s="20"/>
      <c r="U54" s="20"/>
      <c r="V54" s="20"/>
      <c r="W54" s="20"/>
      <c r="X54" s="20"/>
      <c r="Y54" s="20"/>
    </row>
    <row r="55" spans="2:25" ht="13" x14ac:dyDescent="0.2">
      <c r="B55" s="20"/>
      <c r="C55" s="20"/>
      <c r="D55" s="20"/>
      <c r="E55" s="20"/>
      <c r="F55" s="21"/>
      <c r="G55" s="20"/>
      <c r="H55" s="20"/>
      <c r="I55" s="20"/>
      <c r="J55" s="31"/>
      <c r="K55" s="31"/>
      <c r="L55" s="21"/>
      <c r="M55" s="20"/>
      <c r="N55" s="20"/>
      <c r="O55" s="20"/>
      <c r="P55" s="20"/>
      <c r="Q55" s="20"/>
      <c r="R55" s="20"/>
      <c r="S55" s="20"/>
      <c r="T55" s="20"/>
      <c r="U55" s="20"/>
      <c r="V55" s="20"/>
      <c r="W55" s="20"/>
      <c r="X55" s="20"/>
      <c r="Y55" s="20"/>
    </row>
    <row r="56" spans="2:25" ht="13" x14ac:dyDescent="0.2">
      <c r="B56" s="20"/>
      <c r="C56" s="20"/>
      <c r="D56" s="20"/>
      <c r="E56" s="20"/>
      <c r="F56" s="21"/>
      <c r="G56" s="20"/>
      <c r="H56" s="20"/>
      <c r="I56" s="20"/>
      <c r="J56" s="31"/>
      <c r="K56" s="31"/>
      <c r="L56" s="21"/>
      <c r="M56" s="20"/>
      <c r="N56" s="20"/>
      <c r="O56" s="20"/>
      <c r="P56" s="20"/>
      <c r="Q56" s="20"/>
      <c r="R56" s="20"/>
      <c r="S56" s="20"/>
      <c r="T56" s="20"/>
      <c r="U56" s="20"/>
      <c r="V56" s="20"/>
      <c r="W56" s="20"/>
      <c r="X56" s="20"/>
      <c r="Y56" s="20"/>
    </row>
    <row r="57" spans="2:25" ht="13" x14ac:dyDescent="0.2">
      <c r="B57" s="20"/>
      <c r="C57" s="20"/>
      <c r="D57" s="20"/>
      <c r="E57" s="20"/>
      <c r="F57" s="21"/>
      <c r="G57" s="20"/>
      <c r="H57" s="20"/>
      <c r="I57" s="20"/>
      <c r="J57" s="31"/>
      <c r="K57" s="31"/>
      <c r="L57" s="21"/>
      <c r="M57" s="20"/>
      <c r="N57" s="20"/>
      <c r="O57" s="20"/>
      <c r="P57" s="20"/>
      <c r="Q57" s="20"/>
      <c r="R57" s="20"/>
      <c r="S57" s="20"/>
      <c r="T57" s="20"/>
      <c r="U57" s="20"/>
      <c r="V57" s="20"/>
      <c r="W57" s="20"/>
      <c r="X57" s="20"/>
      <c r="Y57" s="20"/>
    </row>
    <row r="58" spans="2:25" ht="13" x14ac:dyDescent="0.2">
      <c r="B58" s="20"/>
      <c r="C58" s="20"/>
      <c r="D58" s="20"/>
      <c r="E58" s="20"/>
      <c r="F58" s="21"/>
      <c r="G58" s="20"/>
      <c r="H58" s="20"/>
      <c r="I58" s="20"/>
      <c r="J58" s="31"/>
      <c r="K58" s="31"/>
      <c r="L58" s="21"/>
      <c r="M58" s="20"/>
      <c r="N58" s="20"/>
      <c r="O58" s="20"/>
      <c r="P58" s="20"/>
      <c r="Q58" s="20"/>
      <c r="R58" s="20"/>
      <c r="S58" s="20"/>
      <c r="T58" s="20"/>
      <c r="U58" s="20"/>
      <c r="V58" s="20"/>
      <c r="W58" s="20"/>
      <c r="X58" s="20"/>
      <c r="Y58" s="20"/>
    </row>
    <row r="59" spans="2:25" ht="13" x14ac:dyDescent="0.2">
      <c r="B59" s="20"/>
      <c r="C59" s="20"/>
      <c r="D59" s="20"/>
      <c r="E59" s="20"/>
      <c r="F59" s="21"/>
      <c r="G59" s="20"/>
      <c r="H59" s="20"/>
      <c r="I59" s="20"/>
      <c r="J59" s="31"/>
      <c r="K59" s="31"/>
      <c r="L59" s="21"/>
      <c r="M59" s="20"/>
      <c r="N59" s="20"/>
      <c r="O59" s="20"/>
      <c r="P59" s="20"/>
      <c r="Q59" s="20"/>
      <c r="R59" s="20"/>
      <c r="S59" s="20"/>
      <c r="T59" s="20"/>
      <c r="U59" s="20"/>
      <c r="V59" s="20"/>
      <c r="W59" s="20"/>
      <c r="X59" s="20"/>
      <c r="Y59" s="20"/>
    </row>
    <row r="60" spans="2:25" ht="13" x14ac:dyDescent="0.2">
      <c r="B60" s="20"/>
      <c r="C60" s="20"/>
      <c r="D60" s="20"/>
      <c r="E60" s="20"/>
      <c r="F60" s="21"/>
      <c r="G60" s="20"/>
      <c r="H60" s="20"/>
      <c r="I60" s="20"/>
      <c r="J60" s="31"/>
      <c r="K60" s="31"/>
      <c r="L60" s="21"/>
      <c r="M60" s="20"/>
      <c r="N60" s="20"/>
      <c r="O60" s="20"/>
      <c r="P60" s="20"/>
      <c r="Q60" s="20"/>
      <c r="R60" s="20"/>
      <c r="S60" s="20"/>
      <c r="T60" s="20"/>
      <c r="U60" s="20"/>
      <c r="V60" s="20"/>
      <c r="W60" s="20"/>
      <c r="X60" s="20"/>
      <c r="Y60" s="20"/>
    </row>
    <row r="61" spans="2:25" ht="13" x14ac:dyDescent="0.2">
      <c r="B61" s="20"/>
      <c r="C61" s="20"/>
      <c r="D61" s="20"/>
      <c r="E61" s="20"/>
      <c r="F61" s="21"/>
      <c r="G61" s="20"/>
      <c r="H61" s="20"/>
      <c r="I61" s="20"/>
      <c r="J61" s="31"/>
      <c r="K61" s="31"/>
      <c r="L61" s="21"/>
      <c r="M61" s="20"/>
      <c r="N61" s="20"/>
      <c r="O61" s="20"/>
      <c r="P61" s="20"/>
      <c r="Q61" s="20"/>
      <c r="R61" s="20"/>
      <c r="S61" s="20"/>
      <c r="T61" s="20"/>
      <c r="U61" s="20"/>
      <c r="V61" s="20"/>
      <c r="W61" s="20"/>
      <c r="X61" s="20"/>
      <c r="Y61" s="20"/>
    </row>
    <row r="62" spans="2:25" ht="13" x14ac:dyDescent="0.2">
      <c r="B62" s="20"/>
      <c r="C62" s="20"/>
      <c r="D62" s="20"/>
      <c r="E62" s="20"/>
      <c r="F62" s="21"/>
      <c r="G62" s="20"/>
      <c r="H62" s="20"/>
      <c r="I62" s="20"/>
      <c r="J62" s="31"/>
      <c r="K62" s="31"/>
      <c r="L62" s="21"/>
      <c r="M62" s="20"/>
      <c r="N62" s="20"/>
      <c r="O62" s="20"/>
      <c r="P62" s="20"/>
      <c r="Q62" s="20"/>
      <c r="R62" s="20"/>
      <c r="S62" s="20"/>
      <c r="T62" s="20"/>
      <c r="U62" s="20"/>
      <c r="V62" s="20"/>
      <c r="W62" s="20"/>
      <c r="X62" s="20"/>
      <c r="Y62" s="20"/>
    </row>
    <row r="63" spans="2:25" ht="13" x14ac:dyDescent="0.2">
      <c r="B63" s="20"/>
      <c r="C63" s="20"/>
      <c r="D63" s="20"/>
      <c r="E63" s="20"/>
      <c r="F63" s="21"/>
      <c r="G63" s="20"/>
      <c r="H63" s="20"/>
      <c r="I63" s="20"/>
      <c r="J63" s="31"/>
      <c r="K63" s="31"/>
      <c r="L63" s="21"/>
      <c r="M63" s="20"/>
      <c r="N63" s="20"/>
      <c r="O63" s="20"/>
      <c r="P63" s="20"/>
      <c r="Q63" s="20"/>
      <c r="R63" s="20"/>
      <c r="S63" s="20"/>
      <c r="T63" s="20"/>
      <c r="U63" s="20"/>
      <c r="V63" s="20"/>
      <c r="W63" s="20"/>
      <c r="X63" s="20"/>
      <c r="Y63" s="20"/>
    </row>
    <row r="64" spans="2:25" ht="13" x14ac:dyDescent="0.2">
      <c r="B64" s="20"/>
      <c r="C64" s="20"/>
      <c r="D64" s="20"/>
      <c r="E64" s="20"/>
      <c r="F64" s="21"/>
      <c r="G64" s="20"/>
      <c r="H64" s="20"/>
      <c r="I64" s="20"/>
      <c r="J64" s="31"/>
      <c r="K64" s="31"/>
      <c r="L64" s="21"/>
      <c r="M64" s="20"/>
      <c r="N64" s="20"/>
      <c r="O64" s="20"/>
      <c r="P64" s="20"/>
      <c r="Q64" s="20"/>
      <c r="R64" s="20"/>
      <c r="S64" s="20"/>
      <c r="T64" s="20"/>
      <c r="U64" s="20"/>
      <c r="V64" s="20"/>
      <c r="W64" s="20"/>
      <c r="X64" s="20"/>
      <c r="Y64" s="20"/>
    </row>
    <row r="65" spans="2:25" ht="13" x14ac:dyDescent="0.2">
      <c r="B65" s="20"/>
      <c r="C65" s="20"/>
      <c r="D65" s="20"/>
      <c r="E65" s="20"/>
      <c r="F65" s="21"/>
      <c r="G65" s="20"/>
      <c r="H65" s="20"/>
      <c r="I65" s="20"/>
      <c r="J65" s="31"/>
      <c r="K65" s="31"/>
      <c r="L65" s="21"/>
      <c r="M65" s="20"/>
      <c r="N65" s="20"/>
      <c r="O65" s="20"/>
      <c r="P65" s="20"/>
      <c r="Q65" s="20"/>
      <c r="R65" s="20"/>
      <c r="S65" s="20"/>
      <c r="T65" s="20"/>
      <c r="U65" s="20"/>
      <c r="V65" s="20"/>
      <c r="W65" s="20"/>
      <c r="X65" s="20"/>
      <c r="Y65" s="20"/>
    </row>
    <row r="66" spans="2:25" ht="13" x14ac:dyDescent="0.2">
      <c r="B66" s="20"/>
      <c r="C66" s="20"/>
      <c r="D66" s="20"/>
      <c r="E66" s="20"/>
      <c r="F66" s="21"/>
      <c r="G66" s="20"/>
      <c r="H66" s="20"/>
      <c r="I66" s="20"/>
      <c r="J66" s="31"/>
      <c r="K66" s="31"/>
      <c r="L66" s="21"/>
      <c r="M66" s="20"/>
      <c r="N66" s="20"/>
      <c r="O66" s="20"/>
      <c r="P66" s="20"/>
      <c r="Q66" s="20"/>
      <c r="R66" s="20"/>
      <c r="S66" s="20"/>
      <c r="T66" s="20"/>
      <c r="U66" s="20"/>
      <c r="V66" s="20"/>
      <c r="W66" s="20"/>
      <c r="X66" s="20"/>
      <c r="Y66" s="20"/>
    </row>
    <row r="67" spans="2:25" ht="13" x14ac:dyDescent="0.2">
      <c r="B67" s="20"/>
      <c r="C67" s="20"/>
      <c r="D67" s="20"/>
      <c r="E67" s="20"/>
      <c r="F67" s="21"/>
      <c r="G67" s="20"/>
      <c r="H67" s="20"/>
      <c r="I67" s="20"/>
      <c r="J67" s="31"/>
      <c r="K67" s="31"/>
      <c r="L67" s="21"/>
      <c r="M67" s="20"/>
      <c r="N67" s="20"/>
      <c r="O67" s="20"/>
      <c r="P67" s="20"/>
      <c r="Q67" s="20"/>
      <c r="R67" s="20"/>
      <c r="S67" s="20"/>
      <c r="T67" s="20"/>
      <c r="U67" s="20"/>
      <c r="V67" s="20"/>
      <c r="W67" s="20"/>
      <c r="X67" s="20"/>
      <c r="Y67" s="20"/>
    </row>
    <row r="68" spans="2:25" ht="13" x14ac:dyDescent="0.2">
      <c r="B68" s="20"/>
      <c r="C68" s="20"/>
      <c r="D68" s="20"/>
      <c r="E68" s="20"/>
      <c r="F68" s="21"/>
      <c r="G68" s="20"/>
      <c r="H68" s="20"/>
      <c r="I68" s="20"/>
      <c r="J68" s="31"/>
      <c r="K68" s="31"/>
      <c r="L68" s="21"/>
      <c r="M68" s="20"/>
      <c r="N68" s="20"/>
      <c r="O68" s="20"/>
      <c r="P68" s="20"/>
      <c r="Q68" s="20"/>
      <c r="R68" s="20"/>
      <c r="S68" s="20"/>
      <c r="T68" s="20"/>
      <c r="U68" s="20"/>
      <c r="V68" s="20"/>
      <c r="W68" s="20"/>
      <c r="X68" s="20"/>
      <c r="Y68" s="20"/>
    </row>
    <row r="69" spans="2:25" ht="13" x14ac:dyDescent="0.2">
      <c r="B69" s="20"/>
      <c r="C69" s="20"/>
      <c r="D69" s="20"/>
      <c r="E69" s="20"/>
      <c r="F69" s="21"/>
      <c r="G69" s="20"/>
      <c r="H69" s="20"/>
      <c r="I69" s="20"/>
      <c r="J69" s="31"/>
      <c r="K69" s="31"/>
      <c r="L69" s="21"/>
      <c r="M69" s="20"/>
      <c r="N69" s="20"/>
      <c r="O69" s="20"/>
      <c r="P69" s="20"/>
      <c r="Q69" s="20"/>
      <c r="R69" s="20"/>
      <c r="S69" s="20"/>
      <c r="T69" s="20"/>
      <c r="U69" s="20"/>
      <c r="V69" s="20"/>
      <c r="W69" s="20"/>
      <c r="X69" s="20"/>
      <c r="Y69" s="20"/>
    </row>
    <row r="70" spans="2:25" ht="13" x14ac:dyDescent="0.2">
      <c r="B70" s="20"/>
      <c r="C70" s="20"/>
      <c r="D70" s="20"/>
      <c r="E70" s="20"/>
      <c r="F70" s="21"/>
      <c r="G70" s="20"/>
      <c r="H70" s="20"/>
      <c r="I70" s="20"/>
      <c r="J70" s="31"/>
      <c r="K70" s="31"/>
      <c r="L70" s="21"/>
      <c r="M70" s="20"/>
      <c r="N70" s="20"/>
      <c r="O70" s="20"/>
      <c r="P70" s="20"/>
      <c r="Q70" s="20"/>
      <c r="R70" s="20"/>
      <c r="S70" s="20"/>
      <c r="T70" s="20"/>
      <c r="U70" s="20"/>
      <c r="V70" s="20"/>
      <c r="W70" s="20"/>
      <c r="X70" s="20"/>
      <c r="Y70" s="20"/>
    </row>
    <row r="71" spans="2:25" ht="13" x14ac:dyDescent="0.2">
      <c r="B71" s="20"/>
      <c r="C71" s="20"/>
      <c r="D71" s="20"/>
      <c r="E71" s="20"/>
      <c r="F71" s="21"/>
      <c r="G71" s="20"/>
      <c r="H71" s="20"/>
      <c r="I71" s="20"/>
      <c r="J71" s="31"/>
      <c r="K71" s="31"/>
      <c r="L71" s="21"/>
      <c r="M71" s="20"/>
      <c r="N71" s="20"/>
      <c r="O71" s="20"/>
      <c r="P71" s="20"/>
      <c r="Q71" s="20"/>
      <c r="R71" s="20"/>
      <c r="S71" s="20"/>
      <c r="T71" s="20"/>
      <c r="U71" s="20"/>
      <c r="V71" s="20"/>
      <c r="W71" s="20"/>
      <c r="X71" s="20"/>
      <c r="Y71" s="20"/>
    </row>
    <row r="72" spans="2:25" ht="13" x14ac:dyDescent="0.2">
      <c r="B72" s="20"/>
      <c r="C72" s="20"/>
      <c r="D72" s="20"/>
      <c r="E72" s="20"/>
      <c r="F72" s="21"/>
      <c r="G72" s="20"/>
      <c r="H72" s="20"/>
      <c r="I72" s="20"/>
      <c r="J72" s="31"/>
      <c r="K72" s="31"/>
      <c r="L72" s="21"/>
      <c r="M72" s="20"/>
      <c r="N72" s="20"/>
      <c r="O72" s="20"/>
      <c r="P72" s="20"/>
      <c r="Q72" s="20"/>
      <c r="R72" s="20"/>
      <c r="S72" s="20"/>
      <c r="T72" s="20"/>
      <c r="U72" s="20"/>
      <c r="V72" s="20"/>
      <c r="W72" s="20"/>
      <c r="X72" s="20"/>
      <c r="Y72" s="20"/>
    </row>
    <row r="73" spans="2:25" ht="13" x14ac:dyDescent="0.2">
      <c r="B73" s="20"/>
      <c r="C73" s="20"/>
      <c r="D73" s="20"/>
      <c r="E73" s="20"/>
      <c r="F73" s="21"/>
      <c r="G73" s="20"/>
      <c r="H73" s="20"/>
      <c r="I73" s="20"/>
      <c r="J73" s="31"/>
      <c r="K73" s="31"/>
      <c r="L73" s="21"/>
      <c r="M73" s="20"/>
      <c r="N73" s="20"/>
      <c r="O73" s="20"/>
      <c r="P73" s="20"/>
      <c r="Q73" s="20"/>
      <c r="R73" s="20"/>
      <c r="S73" s="20"/>
      <c r="T73" s="20"/>
      <c r="U73" s="20"/>
      <c r="V73" s="20"/>
      <c r="W73" s="20"/>
      <c r="X73" s="20"/>
      <c r="Y73" s="20"/>
    </row>
    <row r="74" spans="2:25" ht="13" x14ac:dyDescent="0.2">
      <c r="B74" s="20"/>
      <c r="C74" s="20"/>
      <c r="D74" s="20"/>
      <c r="E74" s="20"/>
      <c r="F74" s="21"/>
      <c r="G74" s="20"/>
      <c r="H74" s="20"/>
      <c r="I74" s="20"/>
      <c r="J74" s="31"/>
      <c r="K74" s="31"/>
      <c r="L74" s="21"/>
      <c r="M74" s="20"/>
      <c r="N74" s="20"/>
      <c r="O74" s="20"/>
      <c r="P74" s="20"/>
      <c r="Q74" s="20"/>
      <c r="R74" s="20"/>
      <c r="S74" s="20"/>
      <c r="T74" s="20"/>
      <c r="U74" s="20"/>
      <c r="V74" s="20"/>
      <c r="W74" s="20"/>
      <c r="X74" s="20"/>
      <c r="Y74" s="20"/>
    </row>
    <row r="75" spans="2:25" ht="13" x14ac:dyDescent="0.2">
      <c r="B75" s="20"/>
      <c r="C75" s="20"/>
      <c r="D75" s="20"/>
      <c r="E75" s="20"/>
      <c r="F75" s="21"/>
      <c r="G75" s="20"/>
      <c r="H75" s="20"/>
      <c r="I75" s="20"/>
      <c r="J75" s="31"/>
      <c r="K75" s="31"/>
      <c r="L75" s="21"/>
      <c r="M75" s="20"/>
      <c r="N75" s="20"/>
      <c r="O75" s="20"/>
      <c r="P75" s="20"/>
      <c r="Q75" s="20"/>
      <c r="R75" s="20"/>
      <c r="S75" s="20"/>
      <c r="T75" s="20"/>
      <c r="U75" s="20"/>
      <c r="V75" s="20"/>
      <c r="W75" s="20"/>
      <c r="X75" s="20"/>
      <c r="Y75" s="20"/>
    </row>
    <row r="76" spans="2:25" ht="13" x14ac:dyDescent="0.2">
      <c r="B76" s="20"/>
      <c r="C76" s="20"/>
      <c r="D76" s="20"/>
      <c r="E76" s="20"/>
      <c r="F76" s="21"/>
      <c r="G76" s="20"/>
      <c r="H76" s="20"/>
      <c r="I76" s="20"/>
      <c r="J76" s="31"/>
      <c r="K76" s="31"/>
      <c r="L76" s="21"/>
      <c r="M76" s="20"/>
      <c r="N76" s="20"/>
      <c r="O76" s="20"/>
      <c r="P76" s="20"/>
      <c r="Q76" s="20"/>
      <c r="R76" s="20"/>
      <c r="S76" s="20"/>
      <c r="T76" s="20"/>
      <c r="U76" s="20"/>
      <c r="V76" s="20"/>
      <c r="W76" s="20"/>
      <c r="X76" s="20"/>
      <c r="Y76" s="20"/>
    </row>
    <row r="77" spans="2:25" ht="13" x14ac:dyDescent="0.2">
      <c r="B77" s="20"/>
      <c r="C77" s="20"/>
      <c r="D77" s="20"/>
      <c r="E77" s="20"/>
      <c r="F77" s="21"/>
      <c r="G77" s="20"/>
      <c r="H77" s="20"/>
      <c r="I77" s="20"/>
      <c r="J77" s="31"/>
      <c r="K77" s="31"/>
      <c r="L77" s="21"/>
      <c r="M77" s="20"/>
      <c r="N77" s="20"/>
      <c r="O77" s="20"/>
      <c r="P77" s="20"/>
      <c r="Q77" s="20"/>
      <c r="R77" s="20"/>
      <c r="S77" s="20"/>
      <c r="T77" s="20"/>
      <c r="U77" s="20"/>
      <c r="V77" s="20"/>
      <c r="W77" s="20"/>
      <c r="X77" s="20"/>
      <c r="Y77" s="20"/>
    </row>
    <row r="78" spans="2:25" ht="13" x14ac:dyDescent="0.2">
      <c r="B78" s="20"/>
      <c r="C78" s="20"/>
      <c r="D78" s="20"/>
      <c r="E78" s="20"/>
      <c r="F78" s="21"/>
      <c r="G78" s="20"/>
      <c r="H78" s="20"/>
      <c r="I78" s="20"/>
      <c r="J78" s="31"/>
      <c r="K78" s="31"/>
      <c r="L78" s="21"/>
      <c r="M78" s="20"/>
      <c r="N78" s="20"/>
      <c r="O78" s="20"/>
      <c r="P78" s="20"/>
      <c r="Q78" s="20"/>
      <c r="R78" s="20"/>
      <c r="S78" s="20"/>
      <c r="T78" s="20"/>
      <c r="U78" s="20"/>
      <c r="V78" s="20"/>
      <c r="W78" s="20"/>
      <c r="X78" s="20"/>
      <c r="Y78" s="20"/>
    </row>
    <row r="79" spans="2:25" ht="13" x14ac:dyDescent="0.2">
      <c r="B79" s="20"/>
      <c r="C79" s="20"/>
      <c r="D79" s="20"/>
      <c r="E79" s="20"/>
      <c r="F79" s="21"/>
      <c r="G79" s="20"/>
      <c r="H79" s="20"/>
      <c r="I79" s="20"/>
      <c r="J79" s="31"/>
      <c r="K79" s="31"/>
      <c r="L79" s="21"/>
      <c r="M79" s="20"/>
      <c r="N79" s="20"/>
      <c r="O79" s="20"/>
      <c r="P79" s="20"/>
      <c r="Q79" s="20"/>
      <c r="R79" s="20"/>
      <c r="S79" s="20"/>
      <c r="T79" s="20"/>
      <c r="U79" s="20"/>
      <c r="V79" s="20"/>
      <c r="W79" s="20"/>
      <c r="X79" s="20"/>
      <c r="Y79" s="20"/>
    </row>
    <row r="80" spans="2:25" ht="13" x14ac:dyDescent="0.2">
      <c r="B80" s="20"/>
      <c r="C80" s="20"/>
      <c r="D80" s="20"/>
      <c r="E80" s="20"/>
      <c r="F80" s="21"/>
      <c r="G80" s="20"/>
      <c r="H80" s="20"/>
      <c r="I80" s="20"/>
      <c r="J80" s="31"/>
      <c r="K80" s="31"/>
      <c r="L80" s="21"/>
      <c r="M80" s="20"/>
      <c r="N80" s="20"/>
      <c r="O80" s="20"/>
      <c r="P80" s="20"/>
      <c r="Q80" s="20"/>
      <c r="R80" s="20"/>
      <c r="S80" s="20"/>
      <c r="T80" s="20"/>
      <c r="U80" s="20"/>
      <c r="V80" s="20"/>
      <c r="W80" s="20"/>
      <c r="X80" s="20"/>
      <c r="Y80" s="20"/>
    </row>
    <row r="81" spans="2:25" ht="13" x14ac:dyDescent="0.2">
      <c r="B81" s="20"/>
      <c r="C81" s="20"/>
      <c r="D81" s="20"/>
      <c r="E81" s="20"/>
      <c r="F81" s="21"/>
      <c r="G81" s="20"/>
      <c r="H81" s="20"/>
      <c r="I81" s="20"/>
      <c r="J81" s="31"/>
      <c r="K81" s="31"/>
      <c r="L81" s="21"/>
      <c r="M81" s="20"/>
      <c r="N81" s="20"/>
      <c r="O81" s="20"/>
      <c r="P81" s="20"/>
      <c r="Q81" s="20"/>
      <c r="R81" s="20"/>
      <c r="S81" s="20"/>
      <c r="T81" s="20"/>
      <c r="U81" s="20"/>
      <c r="V81" s="20"/>
      <c r="W81" s="20"/>
      <c r="X81" s="20"/>
      <c r="Y81" s="20"/>
    </row>
    <row r="82" spans="2:25" ht="13" x14ac:dyDescent="0.2">
      <c r="B82" s="20"/>
      <c r="C82" s="20"/>
      <c r="D82" s="20"/>
      <c r="E82" s="20"/>
      <c r="F82" s="21"/>
      <c r="G82" s="20"/>
      <c r="H82" s="20"/>
      <c r="I82" s="20"/>
      <c r="J82" s="31"/>
      <c r="K82" s="31"/>
      <c r="L82" s="21"/>
      <c r="M82" s="20"/>
      <c r="N82" s="20"/>
      <c r="O82" s="20"/>
      <c r="P82" s="20"/>
      <c r="Q82" s="20"/>
      <c r="R82" s="20"/>
      <c r="S82" s="20"/>
      <c r="T82" s="20"/>
      <c r="U82" s="20"/>
      <c r="V82" s="20"/>
      <c r="W82" s="20"/>
      <c r="X82" s="20"/>
      <c r="Y82" s="20"/>
    </row>
    <row r="83" spans="2:25" ht="13" x14ac:dyDescent="0.2">
      <c r="B83" s="20"/>
      <c r="C83" s="20"/>
      <c r="D83" s="20"/>
      <c r="E83" s="20"/>
      <c r="F83" s="21"/>
      <c r="G83" s="20"/>
      <c r="H83" s="20"/>
      <c r="I83" s="20"/>
      <c r="J83" s="31"/>
      <c r="K83" s="31"/>
      <c r="L83" s="21"/>
      <c r="M83" s="20"/>
      <c r="N83" s="20"/>
      <c r="O83" s="20"/>
      <c r="P83" s="20"/>
      <c r="Q83" s="20"/>
      <c r="R83" s="20"/>
      <c r="S83" s="20"/>
      <c r="T83" s="20"/>
      <c r="U83" s="20"/>
      <c r="V83" s="20"/>
      <c r="W83" s="20"/>
      <c r="X83" s="20"/>
      <c r="Y83" s="20"/>
    </row>
    <row r="84" spans="2:25" ht="13" x14ac:dyDescent="0.2">
      <c r="B84" s="20"/>
      <c r="C84" s="20"/>
      <c r="D84" s="20"/>
      <c r="E84" s="20"/>
      <c r="F84" s="21"/>
      <c r="G84" s="20"/>
      <c r="H84" s="20"/>
      <c r="I84" s="20"/>
      <c r="J84" s="31"/>
      <c r="K84" s="31"/>
      <c r="L84" s="21"/>
      <c r="M84" s="20"/>
      <c r="N84" s="20"/>
      <c r="O84" s="20"/>
      <c r="P84" s="20"/>
      <c r="Q84" s="20"/>
      <c r="R84" s="20"/>
      <c r="S84" s="20"/>
      <c r="T84" s="20"/>
      <c r="U84" s="20"/>
      <c r="V84" s="20"/>
      <c r="W84" s="20"/>
      <c r="X84" s="20"/>
      <c r="Y84" s="20"/>
    </row>
    <row r="85" spans="2:25" ht="13" x14ac:dyDescent="0.2">
      <c r="B85" s="20"/>
      <c r="C85" s="20"/>
      <c r="D85" s="20"/>
      <c r="E85" s="20"/>
      <c r="F85" s="21"/>
      <c r="G85" s="20"/>
      <c r="H85" s="20"/>
      <c r="I85" s="20"/>
      <c r="J85" s="31"/>
      <c r="K85" s="31"/>
      <c r="L85" s="21"/>
      <c r="M85" s="20"/>
      <c r="N85" s="20"/>
      <c r="O85" s="20"/>
      <c r="P85" s="20"/>
      <c r="Q85" s="20"/>
      <c r="R85" s="20"/>
      <c r="S85" s="20"/>
      <c r="T85" s="20"/>
      <c r="U85" s="20"/>
      <c r="V85" s="20"/>
      <c r="W85" s="20"/>
      <c r="X85" s="20"/>
      <c r="Y85" s="20"/>
    </row>
    <row r="86" spans="2:25" ht="13" x14ac:dyDescent="0.2">
      <c r="B86" s="20"/>
      <c r="C86" s="20"/>
      <c r="D86" s="20"/>
      <c r="E86" s="20"/>
      <c r="F86" s="21"/>
      <c r="G86" s="20"/>
      <c r="H86" s="20"/>
      <c r="I86" s="20"/>
      <c r="J86" s="31"/>
      <c r="K86" s="31"/>
      <c r="L86" s="21"/>
      <c r="M86" s="20"/>
      <c r="N86" s="20"/>
      <c r="O86" s="20"/>
      <c r="P86" s="20"/>
      <c r="Q86" s="20"/>
      <c r="R86" s="20"/>
      <c r="S86" s="20"/>
      <c r="T86" s="20"/>
      <c r="U86" s="20"/>
      <c r="V86" s="20"/>
      <c r="W86" s="20"/>
      <c r="X86" s="20"/>
      <c r="Y86" s="20"/>
    </row>
    <row r="87" spans="2:25" ht="13" x14ac:dyDescent="0.2">
      <c r="B87" s="20"/>
      <c r="C87" s="20"/>
      <c r="D87" s="20"/>
      <c r="E87" s="20"/>
      <c r="F87" s="21"/>
      <c r="G87" s="20"/>
      <c r="H87" s="20"/>
      <c r="I87" s="20"/>
      <c r="J87" s="31"/>
      <c r="K87" s="31"/>
      <c r="L87" s="21"/>
      <c r="M87" s="20"/>
      <c r="N87" s="20"/>
      <c r="O87" s="20"/>
      <c r="P87" s="20"/>
      <c r="Q87" s="20"/>
      <c r="R87" s="20"/>
      <c r="S87" s="20"/>
      <c r="T87" s="20"/>
      <c r="U87" s="20"/>
      <c r="V87" s="20"/>
      <c r="W87" s="20"/>
      <c r="X87" s="20"/>
      <c r="Y87" s="20"/>
    </row>
    <row r="88" spans="2:25" ht="13" x14ac:dyDescent="0.2">
      <c r="B88" s="20"/>
      <c r="C88" s="20"/>
      <c r="D88" s="20"/>
      <c r="E88" s="20"/>
      <c r="F88" s="21"/>
      <c r="G88" s="20"/>
      <c r="H88" s="20"/>
      <c r="I88" s="20"/>
      <c r="J88" s="31"/>
      <c r="K88" s="31"/>
      <c r="L88" s="21"/>
      <c r="M88" s="20"/>
      <c r="N88" s="20"/>
      <c r="O88" s="20"/>
      <c r="P88" s="20"/>
      <c r="Q88" s="20"/>
      <c r="R88" s="20"/>
      <c r="S88" s="20"/>
      <c r="T88" s="20"/>
      <c r="U88" s="20"/>
      <c r="V88" s="20"/>
      <c r="W88" s="20"/>
      <c r="X88" s="20"/>
      <c r="Y88" s="20"/>
    </row>
    <row r="89" spans="2:25" ht="13" x14ac:dyDescent="0.2">
      <c r="B89" s="20"/>
      <c r="C89" s="20"/>
      <c r="D89" s="20"/>
      <c r="E89" s="20"/>
      <c r="F89" s="21"/>
      <c r="G89" s="20"/>
      <c r="H89" s="20"/>
      <c r="I89" s="20"/>
      <c r="J89" s="31"/>
      <c r="K89" s="31"/>
      <c r="L89" s="21"/>
      <c r="M89" s="20"/>
      <c r="N89" s="20"/>
      <c r="O89" s="20"/>
      <c r="P89" s="20"/>
      <c r="Q89" s="20"/>
      <c r="R89" s="20"/>
      <c r="S89" s="20"/>
      <c r="T89" s="20"/>
      <c r="U89" s="20"/>
      <c r="V89" s="20"/>
      <c r="W89" s="20"/>
      <c r="X89" s="20"/>
      <c r="Y89" s="20"/>
    </row>
    <row r="90" spans="2:25" ht="13" x14ac:dyDescent="0.2">
      <c r="B90" s="20"/>
      <c r="C90" s="20"/>
      <c r="D90" s="20"/>
      <c r="E90" s="20"/>
      <c r="F90" s="21"/>
      <c r="G90" s="20"/>
      <c r="H90" s="20"/>
      <c r="I90" s="20"/>
      <c r="J90" s="31"/>
      <c r="K90" s="31"/>
      <c r="L90" s="21"/>
      <c r="M90" s="20"/>
      <c r="N90" s="20"/>
      <c r="O90" s="20"/>
      <c r="P90" s="20"/>
      <c r="Q90" s="20"/>
      <c r="R90" s="20"/>
      <c r="S90" s="20"/>
      <c r="T90" s="20"/>
      <c r="U90" s="20"/>
      <c r="V90" s="20"/>
      <c r="W90" s="20"/>
      <c r="X90" s="20"/>
      <c r="Y90" s="20"/>
    </row>
    <row r="91" spans="2:25" ht="13" x14ac:dyDescent="0.2">
      <c r="B91" s="20"/>
      <c r="C91" s="20"/>
      <c r="D91" s="20"/>
      <c r="E91" s="20"/>
      <c r="F91" s="21"/>
      <c r="G91" s="20"/>
      <c r="H91" s="20"/>
      <c r="I91" s="20"/>
      <c r="J91" s="31"/>
      <c r="K91" s="31"/>
      <c r="L91" s="21"/>
      <c r="M91" s="20"/>
      <c r="N91" s="20"/>
      <c r="O91" s="20"/>
      <c r="P91" s="20"/>
      <c r="Q91" s="20"/>
      <c r="R91" s="20"/>
      <c r="S91" s="20"/>
      <c r="T91" s="20"/>
      <c r="U91" s="20"/>
      <c r="V91" s="20"/>
      <c r="W91" s="20"/>
      <c r="X91" s="20"/>
      <c r="Y91" s="20"/>
    </row>
    <row r="92" spans="2:25" ht="13" x14ac:dyDescent="0.2">
      <c r="B92" s="20"/>
      <c r="C92" s="20"/>
      <c r="D92" s="20"/>
      <c r="E92" s="20"/>
      <c r="F92" s="21"/>
      <c r="G92" s="20"/>
      <c r="H92" s="20"/>
      <c r="I92" s="20"/>
      <c r="J92" s="31"/>
      <c r="K92" s="31"/>
      <c r="L92" s="21"/>
      <c r="M92" s="20"/>
      <c r="N92" s="20"/>
      <c r="O92" s="20"/>
      <c r="P92" s="20"/>
      <c r="Q92" s="20"/>
      <c r="R92" s="20"/>
      <c r="S92" s="20"/>
      <c r="T92" s="20"/>
      <c r="U92" s="20"/>
      <c r="V92" s="20"/>
      <c r="W92" s="20"/>
      <c r="X92" s="20"/>
      <c r="Y92" s="20"/>
    </row>
    <row r="93" spans="2:25" ht="13" x14ac:dyDescent="0.2">
      <c r="B93" s="20"/>
      <c r="C93" s="20"/>
      <c r="D93" s="20"/>
      <c r="E93" s="20"/>
      <c r="F93" s="21"/>
      <c r="G93" s="20"/>
      <c r="H93" s="20"/>
      <c r="I93" s="20"/>
      <c r="J93" s="31"/>
      <c r="K93" s="31"/>
      <c r="L93" s="21"/>
      <c r="M93" s="20"/>
      <c r="N93" s="20"/>
      <c r="O93" s="20"/>
      <c r="P93" s="20"/>
      <c r="Q93" s="20"/>
      <c r="R93" s="20"/>
      <c r="S93" s="20"/>
      <c r="T93" s="20"/>
      <c r="U93" s="20"/>
      <c r="V93" s="20"/>
      <c r="W93" s="20"/>
      <c r="X93" s="20"/>
      <c r="Y93" s="20"/>
    </row>
    <row r="94" spans="2:25" ht="13" x14ac:dyDescent="0.2">
      <c r="B94" s="20"/>
      <c r="C94" s="20"/>
      <c r="D94" s="20"/>
      <c r="E94" s="20"/>
      <c r="F94" s="21"/>
      <c r="G94" s="20"/>
      <c r="H94" s="20"/>
      <c r="I94" s="20"/>
      <c r="J94" s="31"/>
      <c r="K94" s="31"/>
      <c r="L94" s="21"/>
      <c r="M94" s="20"/>
      <c r="N94" s="20"/>
      <c r="O94" s="20"/>
      <c r="P94" s="20"/>
      <c r="Q94" s="20"/>
      <c r="R94" s="20"/>
      <c r="S94" s="20"/>
      <c r="T94" s="20"/>
      <c r="U94" s="20"/>
      <c r="V94" s="20"/>
      <c r="W94" s="20"/>
      <c r="X94" s="20"/>
      <c r="Y94" s="20"/>
    </row>
    <row r="95" spans="2:25" ht="13" x14ac:dyDescent="0.2">
      <c r="B95" s="20"/>
      <c r="C95" s="20"/>
      <c r="D95" s="20"/>
      <c r="E95" s="20"/>
      <c r="F95" s="21"/>
      <c r="G95" s="20"/>
      <c r="H95" s="20"/>
      <c r="I95" s="20"/>
      <c r="J95" s="31"/>
      <c r="K95" s="31"/>
      <c r="L95" s="21"/>
      <c r="M95" s="20"/>
      <c r="N95" s="20"/>
      <c r="O95" s="20"/>
      <c r="P95" s="20"/>
      <c r="Q95" s="20"/>
      <c r="R95" s="20"/>
      <c r="S95" s="20"/>
      <c r="T95" s="20"/>
      <c r="U95" s="20"/>
      <c r="V95" s="20"/>
      <c r="W95" s="20"/>
      <c r="X95" s="20"/>
      <c r="Y95" s="20"/>
    </row>
    <row r="96" spans="2:25" ht="13" x14ac:dyDescent="0.2">
      <c r="B96" s="20"/>
      <c r="C96" s="20"/>
      <c r="D96" s="20"/>
      <c r="E96" s="20"/>
      <c r="F96" s="21"/>
      <c r="G96" s="20"/>
      <c r="H96" s="20"/>
      <c r="I96" s="20"/>
      <c r="J96" s="31"/>
      <c r="K96" s="31"/>
      <c r="L96" s="21"/>
      <c r="M96" s="20"/>
      <c r="N96" s="20"/>
      <c r="O96" s="20"/>
      <c r="P96" s="20"/>
      <c r="Q96" s="20"/>
      <c r="R96" s="20"/>
      <c r="S96" s="20"/>
      <c r="T96" s="20"/>
      <c r="U96" s="20"/>
      <c r="V96" s="20"/>
      <c r="W96" s="20"/>
      <c r="X96" s="20"/>
      <c r="Y96" s="20"/>
    </row>
    <row r="97" spans="2:25" ht="13" x14ac:dyDescent="0.2">
      <c r="B97" s="20"/>
      <c r="C97" s="20"/>
      <c r="D97" s="20"/>
      <c r="E97" s="20"/>
      <c r="F97" s="21"/>
      <c r="G97" s="20"/>
      <c r="H97" s="20"/>
      <c r="I97" s="20"/>
      <c r="J97" s="31"/>
      <c r="K97" s="31"/>
      <c r="L97" s="21"/>
      <c r="M97" s="20"/>
      <c r="N97" s="20"/>
      <c r="O97" s="20"/>
      <c r="P97" s="20"/>
      <c r="Q97" s="20"/>
      <c r="R97" s="20"/>
      <c r="S97" s="20"/>
      <c r="T97" s="20"/>
      <c r="U97" s="20"/>
      <c r="V97" s="20"/>
      <c r="W97" s="20"/>
      <c r="X97" s="20"/>
      <c r="Y97" s="20"/>
    </row>
    <row r="98" spans="2:25" ht="13" x14ac:dyDescent="0.2">
      <c r="B98" s="20"/>
      <c r="C98" s="20"/>
      <c r="D98" s="20"/>
      <c r="E98" s="20"/>
      <c r="F98" s="21"/>
      <c r="G98" s="20"/>
      <c r="H98" s="20"/>
      <c r="I98" s="20"/>
      <c r="J98" s="31"/>
      <c r="K98" s="31"/>
      <c r="L98" s="21"/>
      <c r="M98" s="20"/>
      <c r="N98" s="20"/>
      <c r="O98" s="20"/>
      <c r="P98" s="20"/>
      <c r="Q98" s="20"/>
      <c r="R98" s="20"/>
      <c r="S98" s="20"/>
      <c r="T98" s="20"/>
      <c r="U98" s="20"/>
      <c r="V98" s="20"/>
      <c r="W98" s="20"/>
      <c r="X98" s="20"/>
      <c r="Y98" s="20"/>
    </row>
    <row r="99" spans="2:25" ht="13" x14ac:dyDescent="0.2">
      <c r="B99" s="20"/>
      <c r="C99" s="20"/>
      <c r="D99" s="20"/>
      <c r="E99" s="20"/>
      <c r="F99" s="21"/>
      <c r="G99" s="20"/>
      <c r="H99" s="20"/>
      <c r="I99" s="20"/>
      <c r="J99" s="31"/>
      <c r="K99" s="31"/>
      <c r="L99" s="21"/>
      <c r="M99" s="20"/>
      <c r="N99" s="20"/>
      <c r="O99" s="20"/>
      <c r="P99" s="20"/>
      <c r="Q99" s="20"/>
      <c r="R99" s="20"/>
      <c r="S99" s="20"/>
      <c r="T99" s="20"/>
      <c r="U99" s="20"/>
      <c r="V99" s="20"/>
      <c r="W99" s="20"/>
      <c r="X99" s="20"/>
      <c r="Y99" s="20"/>
    </row>
    <row r="100" spans="2:25" ht="13" x14ac:dyDescent="0.2">
      <c r="B100" s="20"/>
      <c r="C100" s="20"/>
      <c r="D100" s="20"/>
      <c r="E100" s="20"/>
      <c r="F100" s="21"/>
      <c r="G100" s="20"/>
      <c r="H100" s="20"/>
      <c r="I100" s="20"/>
      <c r="J100" s="31"/>
      <c r="K100" s="31"/>
      <c r="L100" s="21"/>
      <c r="M100" s="20"/>
      <c r="N100" s="20"/>
      <c r="O100" s="20"/>
      <c r="P100" s="20"/>
      <c r="Q100" s="20"/>
      <c r="R100" s="20"/>
      <c r="S100" s="20"/>
      <c r="T100" s="20"/>
      <c r="U100" s="20"/>
      <c r="V100" s="20"/>
      <c r="W100" s="20"/>
      <c r="X100" s="20"/>
      <c r="Y100" s="20"/>
    </row>
    <row r="101" spans="2:25" ht="13" x14ac:dyDescent="0.2">
      <c r="B101" s="20"/>
      <c r="C101" s="20"/>
      <c r="D101" s="20"/>
      <c r="E101" s="20"/>
      <c r="F101" s="21"/>
      <c r="G101" s="20"/>
      <c r="H101" s="20"/>
      <c r="I101" s="20"/>
      <c r="J101" s="31"/>
      <c r="K101" s="31"/>
      <c r="L101" s="21"/>
      <c r="M101" s="20"/>
      <c r="N101" s="20"/>
      <c r="O101" s="20"/>
      <c r="P101" s="20"/>
      <c r="Q101" s="20"/>
      <c r="R101" s="20"/>
      <c r="S101" s="20"/>
      <c r="T101" s="20"/>
      <c r="U101" s="20"/>
      <c r="V101" s="20"/>
      <c r="W101" s="20"/>
      <c r="X101" s="20"/>
      <c r="Y101" s="20"/>
    </row>
    <row r="102" spans="2:25" ht="13" x14ac:dyDescent="0.2">
      <c r="B102" s="20"/>
      <c r="C102" s="20"/>
      <c r="D102" s="20"/>
      <c r="E102" s="20"/>
      <c r="F102" s="21"/>
      <c r="G102" s="20"/>
      <c r="H102" s="20"/>
      <c r="I102" s="20"/>
      <c r="J102" s="31"/>
      <c r="K102" s="31"/>
      <c r="L102" s="21"/>
      <c r="M102" s="20"/>
      <c r="N102" s="20"/>
      <c r="O102" s="20"/>
      <c r="P102" s="20"/>
      <c r="Q102" s="20"/>
      <c r="R102" s="20"/>
      <c r="S102" s="20"/>
      <c r="T102" s="20"/>
      <c r="U102" s="20"/>
      <c r="V102" s="20"/>
      <c r="W102" s="20"/>
      <c r="X102" s="20"/>
      <c r="Y102" s="20"/>
    </row>
    <row r="103" spans="2:25" ht="13" x14ac:dyDescent="0.2">
      <c r="B103" s="20"/>
      <c r="C103" s="20"/>
      <c r="D103" s="20"/>
      <c r="E103" s="20"/>
      <c r="F103" s="21"/>
      <c r="G103" s="20"/>
      <c r="H103" s="20"/>
      <c r="I103" s="20"/>
      <c r="J103" s="31"/>
      <c r="K103" s="31"/>
      <c r="L103" s="21"/>
      <c r="M103" s="20"/>
      <c r="N103" s="20"/>
      <c r="O103" s="20"/>
      <c r="P103" s="20"/>
      <c r="Q103" s="20"/>
      <c r="R103" s="20"/>
      <c r="S103" s="20"/>
      <c r="T103" s="20"/>
      <c r="U103" s="20"/>
      <c r="V103" s="20"/>
      <c r="W103" s="20"/>
      <c r="X103" s="20"/>
      <c r="Y103" s="20"/>
    </row>
    <row r="104" spans="2:25" ht="13" x14ac:dyDescent="0.2">
      <c r="B104" s="20"/>
      <c r="C104" s="20"/>
      <c r="D104" s="20"/>
      <c r="E104" s="20"/>
      <c r="F104" s="21"/>
      <c r="G104" s="20"/>
      <c r="H104" s="20"/>
      <c r="I104" s="20"/>
      <c r="J104" s="31"/>
      <c r="K104" s="31"/>
      <c r="L104" s="21"/>
      <c r="M104" s="20"/>
      <c r="N104" s="20"/>
      <c r="O104" s="20"/>
      <c r="P104" s="20"/>
      <c r="Q104" s="20"/>
      <c r="R104" s="20"/>
      <c r="S104" s="20"/>
      <c r="T104" s="20"/>
      <c r="U104" s="20"/>
      <c r="V104" s="20"/>
      <c r="W104" s="20"/>
      <c r="X104" s="20"/>
      <c r="Y104" s="20"/>
    </row>
    <row r="105" spans="2:25" ht="13" x14ac:dyDescent="0.2">
      <c r="B105" s="20"/>
      <c r="C105" s="20"/>
      <c r="D105" s="20"/>
      <c r="E105" s="20"/>
      <c r="F105" s="21"/>
      <c r="G105" s="20"/>
      <c r="H105" s="20"/>
      <c r="I105" s="20"/>
      <c r="J105" s="31"/>
      <c r="K105" s="31"/>
      <c r="L105" s="21"/>
      <c r="M105" s="20"/>
      <c r="N105" s="20"/>
      <c r="O105" s="20"/>
      <c r="P105" s="20"/>
      <c r="Q105" s="20"/>
      <c r="R105" s="20"/>
      <c r="S105" s="20"/>
      <c r="T105" s="20"/>
      <c r="U105" s="20"/>
      <c r="V105" s="20"/>
      <c r="W105" s="20"/>
      <c r="X105" s="20"/>
      <c r="Y105" s="20"/>
    </row>
    <row r="106" spans="2:25" ht="13" x14ac:dyDescent="0.2">
      <c r="B106" s="20"/>
      <c r="C106" s="20"/>
      <c r="D106" s="20"/>
      <c r="E106" s="20"/>
      <c r="F106" s="21"/>
      <c r="G106" s="20"/>
      <c r="H106" s="20"/>
      <c r="I106" s="20"/>
      <c r="J106" s="31"/>
      <c r="K106" s="31"/>
      <c r="L106" s="21"/>
      <c r="M106" s="20"/>
      <c r="N106" s="20"/>
      <c r="O106" s="20"/>
      <c r="P106" s="20"/>
      <c r="Q106" s="20"/>
      <c r="R106" s="20"/>
      <c r="S106" s="20"/>
      <c r="T106" s="20"/>
      <c r="U106" s="20"/>
      <c r="V106" s="20"/>
      <c r="W106" s="20"/>
      <c r="X106" s="20"/>
      <c r="Y106" s="20"/>
    </row>
    <row r="107" spans="2:25" ht="13" x14ac:dyDescent="0.2">
      <c r="B107" s="20"/>
      <c r="C107" s="20"/>
      <c r="D107" s="20"/>
      <c r="E107" s="20"/>
      <c r="F107" s="21"/>
      <c r="G107" s="20"/>
      <c r="H107" s="20"/>
      <c r="I107" s="20"/>
      <c r="J107" s="31"/>
      <c r="K107" s="31"/>
      <c r="L107" s="21"/>
      <c r="M107" s="20"/>
      <c r="N107" s="20"/>
      <c r="O107" s="20"/>
      <c r="P107" s="20"/>
      <c r="Q107" s="20"/>
      <c r="R107" s="20"/>
      <c r="S107" s="20"/>
      <c r="T107" s="20"/>
      <c r="U107" s="20"/>
      <c r="V107" s="20"/>
      <c r="W107" s="20"/>
      <c r="X107" s="20"/>
      <c r="Y107" s="20"/>
    </row>
    <row r="108" spans="2:25" ht="13" x14ac:dyDescent="0.2">
      <c r="B108" s="20"/>
      <c r="C108" s="20"/>
      <c r="D108" s="20"/>
      <c r="E108" s="20"/>
      <c r="F108" s="21"/>
      <c r="G108" s="20"/>
      <c r="H108" s="20"/>
      <c r="I108" s="20"/>
      <c r="J108" s="31"/>
      <c r="K108" s="31"/>
      <c r="L108" s="21"/>
      <c r="M108" s="20"/>
      <c r="N108" s="20"/>
      <c r="O108" s="20"/>
      <c r="P108" s="20"/>
      <c r="Q108" s="20"/>
      <c r="R108" s="20"/>
      <c r="S108" s="20"/>
      <c r="T108" s="20"/>
      <c r="U108" s="20"/>
      <c r="V108" s="20"/>
      <c r="W108" s="20"/>
      <c r="X108" s="20"/>
      <c r="Y108" s="20"/>
    </row>
    <row r="109" spans="2:25" ht="13" x14ac:dyDescent="0.2">
      <c r="B109" s="20"/>
      <c r="C109" s="20"/>
      <c r="D109" s="20"/>
      <c r="E109" s="20"/>
      <c r="F109" s="21"/>
      <c r="G109" s="20"/>
      <c r="H109" s="20"/>
      <c r="I109" s="20"/>
      <c r="J109" s="31"/>
      <c r="K109" s="31"/>
      <c r="L109" s="21"/>
      <c r="M109" s="20"/>
      <c r="N109" s="20"/>
      <c r="O109" s="20"/>
      <c r="P109" s="20"/>
      <c r="Q109" s="20"/>
      <c r="R109" s="20"/>
      <c r="S109" s="20"/>
      <c r="T109" s="20"/>
      <c r="U109" s="20"/>
      <c r="V109" s="20"/>
      <c r="W109" s="20"/>
      <c r="X109" s="20"/>
      <c r="Y109" s="20"/>
    </row>
    <row r="110" spans="2:25" ht="13" x14ac:dyDescent="0.2">
      <c r="B110" s="20"/>
      <c r="C110" s="20"/>
      <c r="D110" s="20"/>
      <c r="E110" s="20"/>
      <c r="F110" s="21"/>
      <c r="G110" s="20"/>
      <c r="H110" s="20"/>
      <c r="I110" s="20"/>
      <c r="J110" s="31"/>
      <c r="K110" s="31"/>
      <c r="L110" s="21"/>
      <c r="M110" s="20"/>
      <c r="N110" s="20"/>
      <c r="O110" s="20"/>
      <c r="P110" s="20"/>
      <c r="Q110" s="20"/>
      <c r="R110" s="20"/>
      <c r="S110" s="20"/>
      <c r="T110" s="20"/>
      <c r="U110" s="20"/>
      <c r="V110" s="20"/>
      <c r="W110" s="20"/>
      <c r="X110" s="20"/>
      <c r="Y110" s="20"/>
    </row>
    <row r="111" spans="2:25" ht="13" x14ac:dyDescent="0.2">
      <c r="B111" s="20"/>
      <c r="C111" s="20"/>
      <c r="D111" s="20"/>
      <c r="E111" s="20"/>
      <c r="F111" s="21"/>
      <c r="G111" s="20"/>
      <c r="H111" s="20"/>
      <c r="I111" s="20"/>
      <c r="J111" s="31"/>
      <c r="K111" s="31"/>
      <c r="L111" s="21"/>
      <c r="M111" s="20"/>
      <c r="N111" s="20"/>
      <c r="O111" s="20"/>
      <c r="P111" s="20"/>
      <c r="Q111" s="20"/>
      <c r="R111" s="20"/>
      <c r="S111" s="20"/>
      <c r="T111" s="20"/>
      <c r="U111" s="20"/>
      <c r="V111" s="20"/>
      <c r="W111" s="20"/>
      <c r="X111" s="20"/>
      <c r="Y111" s="20"/>
    </row>
    <row r="112" spans="2:25" ht="13" x14ac:dyDescent="0.2">
      <c r="B112" s="20"/>
      <c r="C112" s="20"/>
      <c r="D112" s="20"/>
      <c r="E112" s="20"/>
      <c r="F112" s="21"/>
      <c r="G112" s="20"/>
      <c r="H112" s="20"/>
      <c r="I112" s="20"/>
      <c r="J112" s="31"/>
      <c r="K112" s="31"/>
      <c r="L112" s="21"/>
      <c r="M112" s="20"/>
      <c r="N112" s="20"/>
      <c r="O112" s="20"/>
      <c r="P112" s="20"/>
      <c r="Q112" s="20"/>
      <c r="R112" s="20"/>
      <c r="S112" s="20"/>
      <c r="T112" s="20"/>
      <c r="U112" s="20"/>
      <c r="V112" s="20"/>
      <c r="W112" s="20"/>
      <c r="X112" s="20"/>
      <c r="Y112" s="20"/>
    </row>
    <row r="113" spans="2:25" ht="13" x14ac:dyDescent="0.2">
      <c r="B113" s="20"/>
      <c r="C113" s="20"/>
      <c r="D113" s="20"/>
      <c r="E113" s="20"/>
      <c r="F113" s="21"/>
      <c r="G113" s="20"/>
      <c r="H113" s="20"/>
      <c r="I113" s="20"/>
      <c r="J113" s="31"/>
      <c r="K113" s="31"/>
      <c r="L113" s="21"/>
      <c r="M113" s="20"/>
      <c r="N113" s="20"/>
      <c r="O113" s="20"/>
      <c r="P113" s="20"/>
      <c r="Q113" s="20"/>
      <c r="R113" s="20"/>
      <c r="S113" s="20"/>
      <c r="T113" s="20"/>
      <c r="U113" s="20"/>
      <c r="V113" s="20"/>
      <c r="W113" s="20"/>
      <c r="X113" s="20"/>
      <c r="Y113" s="20"/>
    </row>
    <row r="114" spans="2:25" ht="13" x14ac:dyDescent="0.2">
      <c r="B114" s="20"/>
      <c r="C114" s="20"/>
      <c r="D114" s="20"/>
      <c r="E114" s="20"/>
      <c r="F114" s="21"/>
      <c r="G114" s="20"/>
      <c r="H114" s="20"/>
      <c r="I114" s="20"/>
      <c r="J114" s="31"/>
      <c r="K114" s="31"/>
      <c r="L114" s="21"/>
      <c r="M114" s="20"/>
      <c r="N114" s="20"/>
      <c r="O114" s="20"/>
      <c r="P114" s="20"/>
      <c r="Q114" s="20"/>
      <c r="R114" s="20"/>
      <c r="S114" s="20"/>
      <c r="T114" s="20"/>
      <c r="U114" s="20"/>
      <c r="V114" s="20"/>
      <c r="W114" s="20"/>
      <c r="X114" s="20"/>
      <c r="Y114" s="20"/>
    </row>
    <row r="115" spans="2:25" ht="13" x14ac:dyDescent="0.2">
      <c r="B115" s="20"/>
      <c r="C115" s="20"/>
      <c r="D115" s="20"/>
      <c r="E115" s="20"/>
      <c r="F115" s="21"/>
      <c r="G115" s="20"/>
      <c r="H115" s="20"/>
      <c r="I115" s="20"/>
      <c r="J115" s="31"/>
      <c r="K115" s="31"/>
      <c r="L115" s="21"/>
      <c r="M115" s="20"/>
      <c r="N115" s="20"/>
      <c r="O115" s="20"/>
      <c r="P115" s="20"/>
      <c r="Q115" s="20"/>
      <c r="R115" s="20"/>
      <c r="S115" s="20"/>
      <c r="T115" s="20"/>
      <c r="U115" s="20"/>
      <c r="V115" s="20"/>
      <c r="W115" s="20"/>
      <c r="X115" s="20"/>
      <c r="Y115" s="20"/>
    </row>
    <row r="116" spans="2:25" ht="13" x14ac:dyDescent="0.2">
      <c r="B116" s="20"/>
      <c r="C116" s="20"/>
      <c r="D116" s="20"/>
      <c r="E116" s="20"/>
      <c r="F116" s="21"/>
      <c r="G116" s="20"/>
      <c r="H116" s="20"/>
      <c r="I116" s="20"/>
      <c r="J116" s="31"/>
      <c r="K116" s="31"/>
      <c r="L116" s="21"/>
      <c r="M116" s="20"/>
      <c r="N116" s="20"/>
      <c r="O116" s="20"/>
      <c r="P116" s="20"/>
      <c r="Q116" s="20"/>
      <c r="R116" s="20"/>
      <c r="S116" s="20"/>
      <c r="T116" s="20"/>
      <c r="U116" s="20"/>
      <c r="V116" s="20"/>
      <c r="W116" s="20"/>
      <c r="X116" s="20"/>
      <c r="Y116" s="20"/>
    </row>
    <row r="117" spans="2:25" ht="13" x14ac:dyDescent="0.2">
      <c r="B117" s="20"/>
      <c r="C117" s="20"/>
      <c r="D117" s="20"/>
      <c r="E117" s="20"/>
      <c r="F117" s="21"/>
      <c r="G117" s="20"/>
      <c r="H117" s="20"/>
      <c r="I117" s="20"/>
      <c r="J117" s="31"/>
      <c r="K117" s="31"/>
      <c r="L117" s="21"/>
      <c r="M117" s="20"/>
      <c r="N117" s="20"/>
      <c r="O117" s="20"/>
      <c r="P117" s="20"/>
      <c r="Q117" s="20"/>
      <c r="R117" s="20"/>
      <c r="S117" s="20"/>
      <c r="T117" s="20"/>
      <c r="U117" s="20"/>
      <c r="V117" s="20"/>
      <c r="W117" s="20"/>
      <c r="X117" s="20"/>
      <c r="Y117" s="20"/>
    </row>
    <row r="118" spans="2:25" ht="13" x14ac:dyDescent="0.2">
      <c r="B118" s="20" t="s">
        <v>64</v>
      </c>
      <c r="C118" s="20" t="s">
        <v>64</v>
      </c>
      <c r="D118" s="20" t="s">
        <v>64</v>
      </c>
      <c r="E118" s="20" t="s">
        <v>64</v>
      </c>
      <c r="F118" s="21"/>
      <c r="G118" s="20" t="s">
        <v>64</v>
      </c>
      <c r="H118" s="20" t="s">
        <v>64</v>
      </c>
      <c r="I118" s="20" t="s">
        <v>64</v>
      </c>
      <c r="J118" s="31"/>
      <c r="K118" s="31" t="s">
        <v>64</v>
      </c>
      <c r="L118" s="21" t="s">
        <v>64</v>
      </c>
      <c r="M118" s="20"/>
      <c r="N118" s="20" t="s">
        <v>64</v>
      </c>
      <c r="O118" s="20"/>
      <c r="P118" s="20"/>
      <c r="Q118" s="20"/>
      <c r="R118" s="20"/>
      <c r="S118" s="20"/>
      <c r="T118" s="20"/>
      <c r="U118" s="20"/>
      <c r="V118" s="20"/>
      <c r="W118" s="20"/>
      <c r="X118" s="20"/>
      <c r="Y118" s="20"/>
    </row>
    <row r="119" spans="2:25" ht="13" x14ac:dyDescent="0.2">
      <c r="B119" s="20" t="s">
        <v>64</v>
      </c>
      <c r="C119" s="20" t="s">
        <v>64</v>
      </c>
      <c r="D119" s="20" t="s">
        <v>64</v>
      </c>
      <c r="E119" s="20" t="s">
        <v>64</v>
      </c>
      <c r="F119" s="21"/>
      <c r="G119" s="20" t="s">
        <v>64</v>
      </c>
      <c r="H119" s="20" t="s">
        <v>64</v>
      </c>
      <c r="I119" s="20" t="s">
        <v>64</v>
      </c>
      <c r="J119" s="31"/>
      <c r="K119" s="31" t="s">
        <v>64</v>
      </c>
      <c r="L119" s="21" t="s">
        <v>64</v>
      </c>
      <c r="M119" s="20"/>
      <c r="N119" s="20" t="s">
        <v>64</v>
      </c>
      <c r="O119" s="20"/>
      <c r="P119" s="20"/>
      <c r="Q119" s="20"/>
      <c r="R119" s="20"/>
      <c r="S119" s="20"/>
      <c r="T119" s="20"/>
      <c r="U119" s="20"/>
      <c r="V119" s="20"/>
      <c r="W119" s="20"/>
      <c r="X119" s="20"/>
      <c r="Y119" s="20"/>
    </row>
    <row r="120" spans="2:25" ht="13" x14ac:dyDescent="0.2">
      <c r="B120" s="20" t="s">
        <v>64</v>
      </c>
      <c r="C120" s="20" t="s">
        <v>64</v>
      </c>
      <c r="D120" s="20" t="s">
        <v>64</v>
      </c>
      <c r="E120" s="20" t="s">
        <v>64</v>
      </c>
      <c r="F120" s="21"/>
      <c r="G120" s="20" t="s">
        <v>64</v>
      </c>
      <c r="H120" s="20" t="s">
        <v>64</v>
      </c>
      <c r="I120" s="20" t="s">
        <v>64</v>
      </c>
      <c r="J120" s="31"/>
      <c r="K120" s="31" t="s">
        <v>64</v>
      </c>
      <c r="L120" s="21" t="s">
        <v>64</v>
      </c>
      <c r="M120" s="20"/>
      <c r="N120" s="20" t="s">
        <v>64</v>
      </c>
      <c r="O120" s="20"/>
      <c r="P120" s="20"/>
      <c r="Q120" s="20"/>
      <c r="R120" s="20"/>
      <c r="S120" s="20"/>
      <c r="T120" s="20"/>
      <c r="U120" s="20"/>
      <c r="V120" s="20"/>
      <c r="W120" s="20"/>
      <c r="X120" s="20"/>
      <c r="Y120" s="20"/>
    </row>
    <row r="121" spans="2:25" ht="13" x14ac:dyDescent="0.2">
      <c r="B121" s="20" t="s">
        <v>64</v>
      </c>
      <c r="C121" s="20" t="s">
        <v>64</v>
      </c>
      <c r="D121" s="20" t="s">
        <v>64</v>
      </c>
      <c r="E121" s="20" t="s">
        <v>64</v>
      </c>
      <c r="F121" s="21"/>
      <c r="G121" s="20" t="s">
        <v>64</v>
      </c>
      <c r="H121" s="20" t="s">
        <v>64</v>
      </c>
      <c r="I121" s="20" t="s">
        <v>64</v>
      </c>
      <c r="J121" s="31"/>
      <c r="K121" s="31" t="s">
        <v>64</v>
      </c>
      <c r="L121" s="21" t="s">
        <v>64</v>
      </c>
      <c r="M121" s="20"/>
      <c r="N121" s="20" t="s">
        <v>64</v>
      </c>
      <c r="O121" s="20"/>
      <c r="P121" s="20"/>
      <c r="Q121" s="20"/>
      <c r="R121" s="20"/>
      <c r="S121" s="20"/>
      <c r="T121" s="20"/>
      <c r="U121" s="20"/>
      <c r="V121" s="20"/>
      <c r="W121" s="20"/>
      <c r="X121" s="20"/>
      <c r="Y121" s="20"/>
    </row>
    <row r="122" spans="2:25" ht="13" x14ac:dyDescent="0.2">
      <c r="B122" s="20" t="s">
        <v>64</v>
      </c>
      <c r="C122" s="20" t="s">
        <v>64</v>
      </c>
      <c r="D122" s="20" t="s">
        <v>64</v>
      </c>
      <c r="E122" s="20" t="s">
        <v>64</v>
      </c>
      <c r="F122" s="21"/>
      <c r="G122" s="20" t="s">
        <v>64</v>
      </c>
      <c r="H122" s="20" t="s">
        <v>64</v>
      </c>
      <c r="I122" s="20" t="s">
        <v>64</v>
      </c>
      <c r="J122" s="31"/>
      <c r="K122" s="31" t="s">
        <v>64</v>
      </c>
      <c r="L122" s="21" t="s">
        <v>64</v>
      </c>
      <c r="M122" s="20"/>
      <c r="N122" s="20" t="s">
        <v>64</v>
      </c>
      <c r="O122" s="20"/>
      <c r="P122" s="20"/>
      <c r="Q122" s="20"/>
      <c r="R122" s="20"/>
      <c r="S122" s="20"/>
      <c r="T122" s="20"/>
      <c r="U122" s="20"/>
      <c r="V122" s="20"/>
      <c r="W122" s="20"/>
      <c r="X122" s="20"/>
      <c r="Y122" s="20"/>
    </row>
    <row r="123" spans="2:25" ht="13" x14ac:dyDescent="0.2">
      <c r="B123" s="20" t="s">
        <v>64</v>
      </c>
      <c r="C123" s="20" t="s">
        <v>64</v>
      </c>
      <c r="D123" s="20" t="s">
        <v>64</v>
      </c>
      <c r="E123" s="20" t="s">
        <v>64</v>
      </c>
      <c r="F123" s="21"/>
      <c r="G123" s="20" t="s">
        <v>64</v>
      </c>
      <c r="H123" s="20" t="s">
        <v>64</v>
      </c>
      <c r="I123" s="20" t="s">
        <v>64</v>
      </c>
      <c r="J123" s="31"/>
      <c r="K123" s="31" t="s">
        <v>64</v>
      </c>
      <c r="L123" s="21" t="s">
        <v>64</v>
      </c>
      <c r="M123" s="20"/>
      <c r="N123" s="20" t="s">
        <v>64</v>
      </c>
      <c r="O123" s="20"/>
      <c r="P123" s="20"/>
      <c r="Q123" s="20"/>
      <c r="R123" s="20"/>
      <c r="S123" s="20"/>
      <c r="T123" s="20"/>
      <c r="U123" s="20"/>
      <c r="V123" s="20"/>
      <c r="W123" s="20"/>
      <c r="X123" s="20"/>
      <c r="Y123" s="20"/>
    </row>
    <row r="124" spans="2:25" ht="13" x14ac:dyDescent="0.2">
      <c r="B124" s="20" t="s">
        <v>64</v>
      </c>
      <c r="C124" s="20" t="s">
        <v>64</v>
      </c>
      <c r="D124" s="20" t="s">
        <v>64</v>
      </c>
      <c r="E124" s="20" t="s">
        <v>64</v>
      </c>
      <c r="F124" s="21"/>
      <c r="G124" s="20" t="s">
        <v>64</v>
      </c>
      <c r="H124" s="20" t="s">
        <v>64</v>
      </c>
      <c r="I124" s="20" t="s">
        <v>64</v>
      </c>
      <c r="J124" s="31"/>
      <c r="K124" s="31" t="s">
        <v>64</v>
      </c>
      <c r="L124" s="21" t="s">
        <v>64</v>
      </c>
      <c r="M124" s="20"/>
      <c r="N124" s="20" t="s">
        <v>64</v>
      </c>
      <c r="O124" s="20"/>
      <c r="P124" s="20"/>
      <c r="Q124" s="20"/>
      <c r="R124" s="20"/>
      <c r="S124" s="20"/>
      <c r="T124" s="20"/>
      <c r="U124" s="20"/>
      <c r="V124" s="20"/>
      <c r="W124" s="20"/>
      <c r="X124" s="20"/>
      <c r="Y124" s="20"/>
    </row>
    <row r="125" spans="2:25" ht="13" x14ac:dyDescent="0.2">
      <c r="B125" s="20" t="s">
        <v>64</v>
      </c>
      <c r="C125" s="20" t="s">
        <v>64</v>
      </c>
      <c r="D125" s="20" t="s">
        <v>64</v>
      </c>
      <c r="E125" s="20" t="s">
        <v>64</v>
      </c>
      <c r="F125" s="21"/>
      <c r="G125" s="20" t="s">
        <v>64</v>
      </c>
      <c r="H125" s="20" t="s">
        <v>64</v>
      </c>
      <c r="I125" s="20" t="s">
        <v>64</v>
      </c>
      <c r="J125" s="31"/>
      <c r="K125" s="31" t="s">
        <v>64</v>
      </c>
      <c r="L125" s="21" t="s">
        <v>64</v>
      </c>
      <c r="M125" s="20"/>
      <c r="N125" s="20" t="s">
        <v>64</v>
      </c>
      <c r="O125" s="20"/>
      <c r="P125" s="20"/>
      <c r="Q125" s="20"/>
      <c r="R125" s="20"/>
      <c r="S125" s="20"/>
      <c r="T125" s="20"/>
      <c r="U125" s="20"/>
      <c r="V125" s="20"/>
      <c r="W125" s="20"/>
      <c r="X125" s="20"/>
      <c r="Y125" s="20"/>
    </row>
    <row r="126" spans="2:25" ht="13" x14ac:dyDescent="0.2">
      <c r="B126" s="20" t="s">
        <v>64</v>
      </c>
      <c r="C126" s="20" t="s">
        <v>64</v>
      </c>
      <c r="D126" s="20" t="s">
        <v>64</v>
      </c>
      <c r="E126" s="20" t="s">
        <v>64</v>
      </c>
      <c r="F126" s="21"/>
      <c r="G126" s="20" t="s">
        <v>64</v>
      </c>
      <c r="H126" s="20" t="s">
        <v>64</v>
      </c>
      <c r="I126" s="20" t="s">
        <v>64</v>
      </c>
      <c r="J126" s="31"/>
      <c r="K126" s="31" t="s">
        <v>64</v>
      </c>
      <c r="L126" s="21" t="s">
        <v>64</v>
      </c>
      <c r="M126" s="20"/>
      <c r="N126" s="20" t="s">
        <v>64</v>
      </c>
      <c r="O126" s="20"/>
      <c r="P126" s="20"/>
      <c r="Q126" s="20"/>
      <c r="R126" s="20"/>
      <c r="S126" s="20"/>
      <c r="T126" s="20"/>
      <c r="U126" s="20"/>
      <c r="V126" s="20"/>
      <c r="W126" s="20"/>
      <c r="X126" s="20"/>
      <c r="Y126" s="20"/>
    </row>
    <row r="127" spans="2:25" ht="13" x14ac:dyDescent="0.2">
      <c r="B127" s="20" t="s">
        <v>64</v>
      </c>
      <c r="C127" s="20" t="s">
        <v>64</v>
      </c>
      <c r="D127" s="20" t="s">
        <v>64</v>
      </c>
      <c r="E127" s="20" t="s">
        <v>64</v>
      </c>
      <c r="F127" s="21"/>
      <c r="G127" s="20" t="s">
        <v>64</v>
      </c>
      <c r="H127" s="20" t="s">
        <v>64</v>
      </c>
      <c r="I127" s="20" t="s">
        <v>64</v>
      </c>
      <c r="J127" s="31"/>
      <c r="K127" s="31" t="s">
        <v>64</v>
      </c>
      <c r="L127" s="21" t="s">
        <v>64</v>
      </c>
      <c r="M127" s="20"/>
      <c r="N127" s="20" t="s">
        <v>64</v>
      </c>
      <c r="O127" s="20"/>
      <c r="P127" s="20"/>
      <c r="Q127" s="20"/>
      <c r="R127" s="20"/>
      <c r="S127" s="20"/>
      <c r="T127" s="20"/>
      <c r="U127" s="20"/>
      <c r="V127" s="20"/>
      <c r="W127" s="20"/>
      <c r="X127" s="20"/>
      <c r="Y127" s="20"/>
    </row>
    <row r="128" spans="2:25" ht="13" x14ac:dyDescent="0.2">
      <c r="B128" s="20" t="s">
        <v>64</v>
      </c>
      <c r="C128" s="20" t="s">
        <v>64</v>
      </c>
      <c r="D128" s="20" t="s">
        <v>64</v>
      </c>
      <c r="E128" s="20" t="s">
        <v>64</v>
      </c>
      <c r="F128" s="21"/>
      <c r="G128" s="20" t="s">
        <v>64</v>
      </c>
      <c r="H128" s="20" t="s">
        <v>64</v>
      </c>
      <c r="I128" s="20" t="s">
        <v>64</v>
      </c>
      <c r="J128" s="31"/>
      <c r="K128" s="31" t="s">
        <v>64</v>
      </c>
      <c r="L128" s="21" t="s">
        <v>64</v>
      </c>
      <c r="M128" s="20"/>
      <c r="N128" s="20" t="s">
        <v>64</v>
      </c>
      <c r="O128" s="20"/>
      <c r="P128" s="20"/>
      <c r="Q128" s="20"/>
      <c r="R128" s="20"/>
      <c r="S128" s="20"/>
      <c r="T128" s="20"/>
      <c r="U128" s="20"/>
      <c r="V128" s="20"/>
      <c r="W128" s="20"/>
      <c r="X128" s="20"/>
      <c r="Y128" s="20"/>
    </row>
    <row r="129" spans="2:25" ht="13" x14ac:dyDescent="0.2">
      <c r="B129" s="20" t="s">
        <v>64</v>
      </c>
      <c r="C129" s="20" t="s">
        <v>64</v>
      </c>
      <c r="D129" s="20" t="s">
        <v>64</v>
      </c>
      <c r="E129" s="20" t="s">
        <v>64</v>
      </c>
      <c r="F129" s="21"/>
      <c r="G129" s="20" t="s">
        <v>64</v>
      </c>
      <c r="H129" s="20" t="s">
        <v>64</v>
      </c>
      <c r="I129" s="20" t="s">
        <v>64</v>
      </c>
      <c r="J129" s="31"/>
      <c r="K129" s="31" t="s">
        <v>64</v>
      </c>
      <c r="L129" s="21" t="s">
        <v>64</v>
      </c>
      <c r="M129" s="20"/>
      <c r="N129" s="20" t="s">
        <v>64</v>
      </c>
      <c r="O129" s="20"/>
      <c r="P129" s="20"/>
      <c r="Q129" s="20"/>
      <c r="R129" s="20"/>
      <c r="S129" s="20"/>
      <c r="T129" s="20"/>
      <c r="U129" s="20"/>
      <c r="V129" s="20"/>
      <c r="W129" s="20"/>
      <c r="X129" s="20"/>
      <c r="Y129" s="20"/>
    </row>
    <row r="130" spans="2:25" ht="13" x14ac:dyDescent="0.2">
      <c r="B130" s="20" t="s">
        <v>64</v>
      </c>
      <c r="C130" s="20" t="s">
        <v>64</v>
      </c>
      <c r="D130" s="20" t="s">
        <v>64</v>
      </c>
      <c r="E130" s="20" t="s">
        <v>64</v>
      </c>
      <c r="F130" s="21"/>
      <c r="G130" s="20" t="s">
        <v>64</v>
      </c>
      <c r="H130" s="20" t="s">
        <v>64</v>
      </c>
      <c r="I130" s="20" t="s">
        <v>64</v>
      </c>
      <c r="J130" s="31"/>
      <c r="K130" s="31" t="s">
        <v>64</v>
      </c>
      <c r="L130" s="21" t="s">
        <v>64</v>
      </c>
      <c r="M130" s="20"/>
      <c r="N130" s="20" t="s">
        <v>64</v>
      </c>
      <c r="O130" s="20"/>
      <c r="P130" s="20"/>
      <c r="Q130" s="20"/>
      <c r="R130" s="20"/>
      <c r="S130" s="20"/>
      <c r="T130" s="20"/>
      <c r="U130" s="20"/>
      <c r="V130" s="20"/>
      <c r="W130" s="20"/>
      <c r="X130" s="20"/>
      <c r="Y130" s="20"/>
    </row>
    <row r="131" spans="2:25" ht="13" x14ac:dyDescent="0.2">
      <c r="B131" s="20" t="s">
        <v>64</v>
      </c>
      <c r="C131" s="20" t="s">
        <v>64</v>
      </c>
      <c r="D131" s="20" t="s">
        <v>64</v>
      </c>
      <c r="E131" s="20" t="s">
        <v>64</v>
      </c>
      <c r="F131" s="21"/>
      <c r="G131" s="20" t="s">
        <v>64</v>
      </c>
      <c r="H131" s="20" t="s">
        <v>64</v>
      </c>
      <c r="I131" s="20" t="s">
        <v>64</v>
      </c>
      <c r="J131" s="31"/>
      <c r="K131" s="31" t="s">
        <v>64</v>
      </c>
      <c r="L131" s="21" t="s">
        <v>64</v>
      </c>
      <c r="M131" s="20"/>
      <c r="N131" s="20" t="s">
        <v>64</v>
      </c>
      <c r="O131" s="20"/>
      <c r="P131" s="20"/>
      <c r="Q131" s="20"/>
      <c r="R131" s="20"/>
      <c r="S131" s="20"/>
      <c r="T131" s="20"/>
      <c r="U131" s="20"/>
      <c r="V131" s="20"/>
      <c r="W131" s="20"/>
      <c r="X131" s="20"/>
      <c r="Y131" s="20"/>
    </row>
    <row r="132" spans="2:25" ht="13" x14ac:dyDescent="0.2">
      <c r="B132" s="20" t="s">
        <v>64</v>
      </c>
      <c r="C132" s="20" t="s">
        <v>64</v>
      </c>
      <c r="D132" s="20" t="s">
        <v>64</v>
      </c>
      <c r="E132" s="20" t="s">
        <v>64</v>
      </c>
      <c r="F132" s="21"/>
      <c r="G132" s="20" t="s">
        <v>64</v>
      </c>
      <c r="H132" s="20" t="s">
        <v>64</v>
      </c>
      <c r="I132" s="20" t="s">
        <v>64</v>
      </c>
      <c r="J132" s="31"/>
      <c r="K132" s="31" t="s">
        <v>64</v>
      </c>
      <c r="L132" s="21" t="s">
        <v>64</v>
      </c>
      <c r="M132" s="20"/>
      <c r="N132" s="20" t="s">
        <v>64</v>
      </c>
      <c r="O132" s="20"/>
      <c r="P132" s="20"/>
      <c r="Q132" s="20"/>
      <c r="R132" s="20"/>
      <c r="S132" s="20"/>
      <c r="T132" s="20"/>
      <c r="U132" s="20"/>
      <c r="V132" s="20"/>
      <c r="W132" s="20"/>
      <c r="X132" s="20"/>
      <c r="Y132" s="20"/>
    </row>
    <row r="133" spans="2:25" ht="13" x14ac:dyDescent="0.2">
      <c r="B133" s="20" t="s">
        <v>64</v>
      </c>
      <c r="C133" s="20" t="s">
        <v>64</v>
      </c>
      <c r="D133" s="20" t="s">
        <v>64</v>
      </c>
      <c r="E133" s="20" t="s">
        <v>64</v>
      </c>
      <c r="F133" s="21"/>
      <c r="G133" s="20" t="s">
        <v>64</v>
      </c>
      <c r="H133" s="20" t="s">
        <v>64</v>
      </c>
      <c r="I133" s="20" t="s">
        <v>64</v>
      </c>
      <c r="J133" s="31"/>
      <c r="K133" s="31" t="s">
        <v>64</v>
      </c>
      <c r="L133" s="21" t="s">
        <v>64</v>
      </c>
      <c r="M133" s="20"/>
      <c r="N133" s="20" t="s">
        <v>64</v>
      </c>
      <c r="O133" s="20"/>
      <c r="P133" s="20"/>
      <c r="Q133" s="20"/>
      <c r="R133" s="20"/>
      <c r="S133" s="20"/>
      <c r="T133" s="20"/>
      <c r="U133" s="20"/>
      <c r="V133" s="20"/>
      <c r="W133" s="20"/>
      <c r="X133" s="20"/>
      <c r="Y133" s="20"/>
    </row>
    <row r="134" spans="2:25" ht="13" x14ac:dyDescent="0.2">
      <c r="B134" s="20" t="s">
        <v>64</v>
      </c>
      <c r="C134" s="20" t="s">
        <v>64</v>
      </c>
      <c r="D134" s="20" t="s">
        <v>64</v>
      </c>
      <c r="E134" s="20" t="s">
        <v>64</v>
      </c>
      <c r="F134" s="21"/>
      <c r="G134" s="20" t="s">
        <v>64</v>
      </c>
      <c r="H134" s="20" t="s">
        <v>64</v>
      </c>
      <c r="I134" s="20" t="s">
        <v>64</v>
      </c>
      <c r="J134" s="31"/>
      <c r="K134" s="31" t="s">
        <v>64</v>
      </c>
      <c r="L134" s="21" t="s">
        <v>64</v>
      </c>
      <c r="M134" s="20"/>
      <c r="N134" s="20" t="s">
        <v>64</v>
      </c>
      <c r="O134" s="20"/>
      <c r="P134" s="20"/>
      <c r="Q134" s="20"/>
      <c r="R134" s="20"/>
      <c r="S134" s="20"/>
      <c r="T134" s="20"/>
      <c r="U134" s="20"/>
      <c r="V134" s="20"/>
      <c r="W134" s="20"/>
      <c r="X134" s="20"/>
      <c r="Y134" s="20"/>
    </row>
    <row r="135" spans="2:25" ht="13" x14ac:dyDescent="0.2">
      <c r="B135" s="20" t="s">
        <v>64</v>
      </c>
      <c r="C135" s="20" t="s">
        <v>64</v>
      </c>
      <c r="D135" s="20" t="s">
        <v>64</v>
      </c>
      <c r="E135" s="20" t="s">
        <v>64</v>
      </c>
      <c r="F135" s="21"/>
      <c r="G135" s="20" t="s">
        <v>64</v>
      </c>
      <c r="H135" s="20" t="s">
        <v>64</v>
      </c>
      <c r="I135" s="20" t="s">
        <v>64</v>
      </c>
      <c r="J135" s="31"/>
      <c r="K135" s="31" t="s">
        <v>64</v>
      </c>
      <c r="L135" s="21" t="s">
        <v>64</v>
      </c>
      <c r="M135" s="20"/>
      <c r="N135" s="20" t="s">
        <v>64</v>
      </c>
      <c r="O135" s="20"/>
      <c r="P135" s="20"/>
      <c r="Q135" s="20"/>
      <c r="R135" s="20"/>
      <c r="S135" s="20"/>
      <c r="T135" s="20"/>
      <c r="U135" s="20"/>
      <c r="V135" s="20"/>
      <c r="W135" s="20"/>
      <c r="X135" s="20"/>
      <c r="Y135" s="20"/>
    </row>
    <row r="136" spans="2:25" ht="13" x14ac:dyDescent="0.2">
      <c r="B136" s="20" t="s">
        <v>64</v>
      </c>
      <c r="C136" s="20" t="s">
        <v>64</v>
      </c>
      <c r="D136" s="20" t="s">
        <v>64</v>
      </c>
      <c r="E136" s="20" t="s">
        <v>64</v>
      </c>
      <c r="F136" s="21"/>
      <c r="G136" s="20" t="s">
        <v>64</v>
      </c>
      <c r="H136" s="20" t="s">
        <v>64</v>
      </c>
      <c r="I136" s="20" t="s">
        <v>64</v>
      </c>
      <c r="J136" s="31"/>
      <c r="K136" s="31" t="s">
        <v>64</v>
      </c>
      <c r="L136" s="21" t="s">
        <v>64</v>
      </c>
      <c r="M136" s="20"/>
      <c r="N136" s="20" t="s">
        <v>64</v>
      </c>
      <c r="O136" s="20"/>
      <c r="P136" s="20"/>
      <c r="Q136" s="20"/>
      <c r="R136" s="20"/>
      <c r="S136" s="20"/>
      <c r="T136" s="20"/>
      <c r="U136" s="20"/>
      <c r="V136" s="20"/>
      <c r="W136" s="20"/>
      <c r="X136" s="20"/>
      <c r="Y136" s="20"/>
    </row>
    <row r="137" spans="2:25" ht="13" x14ac:dyDescent="0.2">
      <c r="B137" s="20" t="s">
        <v>64</v>
      </c>
      <c r="C137" s="20" t="s">
        <v>64</v>
      </c>
      <c r="D137" s="20" t="s">
        <v>64</v>
      </c>
      <c r="E137" s="20" t="s">
        <v>64</v>
      </c>
      <c r="F137" s="21"/>
      <c r="G137" s="20" t="s">
        <v>64</v>
      </c>
      <c r="H137" s="20" t="s">
        <v>64</v>
      </c>
      <c r="I137" s="20" t="s">
        <v>64</v>
      </c>
      <c r="J137" s="31"/>
      <c r="K137" s="31" t="s">
        <v>64</v>
      </c>
      <c r="L137" s="21" t="s">
        <v>64</v>
      </c>
      <c r="M137" s="20"/>
      <c r="N137" s="20" t="s">
        <v>64</v>
      </c>
      <c r="O137" s="20"/>
      <c r="P137" s="20"/>
      <c r="Q137" s="20"/>
      <c r="R137" s="20"/>
      <c r="S137" s="20"/>
      <c r="T137" s="20"/>
      <c r="U137" s="20"/>
      <c r="V137" s="20"/>
      <c r="W137" s="20"/>
      <c r="X137" s="20"/>
      <c r="Y137" s="20"/>
    </row>
    <row r="138" spans="2:25" ht="13" x14ac:dyDescent="0.2">
      <c r="B138" s="20" t="s">
        <v>64</v>
      </c>
      <c r="C138" s="20" t="s">
        <v>64</v>
      </c>
      <c r="D138" s="20" t="s">
        <v>64</v>
      </c>
      <c r="E138" s="20" t="s">
        <v>64</v>
      </c>
      <c r="F138" s="21"/>
      <c r="G138" s="20" t="s">
        <v>64</v>
      </c>
      <c r="H138" s="20" t="s">
        <v>64</v>
      </c>
      <c r="I138" s="20" t="s">
        <v>64</v>
      </c>
      <c r="J138" s="31"/>
      <c r="K138" s="31" t="s">
        <v>64</v>
      </c>
      <c r="L138" s="21" t="s">
        <v>64</v>
      </c>
      <c r="M138" s="20"/>
      <c r="N138" s="20" t="s">
        <v>64</v>
      </c>
      <c r="O138" s="20"/>
      <c r="P138" s="20"/>
      <c r="Q138" s="20"/>
      <c r="R138" s="20"/>
      <c r="S138" s="20"/>
      <c r="T138" s="20"/>
      <c r="U138" s="20"/>
      <c r="V138" s="20"/>
      <c r="W138" s="20"/>
      <c r="X138" s="20"/>
      <c r="Y138" s="20"/>
    </row>
    <row r="139" spans="2:25" ht="13" x14ac:dyDescent="0.2">
      <c r="B139" s="20" t="s">
        <v>64</v>
      </c>
      <c r="C139" s="20" t="s">
        <v>64</v>
      </c>
      <c r="D139" s="20" t="s">
        <v>64</v>
      </c>
      <c r="E139" s="20" t="s">
        <v>64</v>
      </c>
      <c r="F139" s="21"/>
      <c r="G139" s="20" t="s">
        <v>64</v>
      </c>
      <c r="H139" s="20" t="s">
        <v>64</v>
      </c>
      <c r="I139" s="20" t="s">
        <v>64</v>
      </c>
      <c r="J139" s="31"/>
      <c r="K139" s="31" t="s">
        <v>64</v>
      </c>
      <c r="L139" s="21" t="s">
        <v>64</v>
      </c>
      <c r="M139" s="20"/>
      <c r="N139" s="20" t="s">
        <v>64</v>
      </c>
      <c r="O139" s="20"/>
      <c r="P139" s="20"/>
      <c r="Q139" s="20"/>
      <c r="R139" s="20"/>
      <c r="S139" s="20"/>
      <c r="T139" s="20"/>
      <c r="U139" s="20"/>
      <c r="V139" s="20"/>
      <c r="W139" s="20"/>
      <c r="X139" s="20"/>
      <c r="Y139" s="20"/>
    </row>
    <row r="140" spans="2:25" ht="13" x14ac:dyDescent="0.2">
      <c r="B140" s="20" t="s">
        <v>64</v>
      </c>
      <c r="C140" s="20" t="s">
        <v>64</v>
      </c>
      <c r="D140" s="20" t="s">
        <v>64</v>
      </c>
      <c r="E140" s="20" t="s">
        <v>64</v>
      </c>
      <c r="F140" s="21"/>
      <c r="G140" s="20" t="s">
        <v>64</v>
      </c>
      <c r="H140" s="20" t="s">
        <v>64</v>
      </c>
      <c r="I140" s="20" t="s">
        <v>64</v>
      </c>
      <c r="J140" s="31"/>
      <c r="K140" s="31" t="s">
        <v>64</v>
      </c>
      <c r="L140" s="21" t="s">
        <v>64</v>
      </c>
      <c r="M140" s="20"/>
      <c r="N140" s="20" t="s">
        <v>64</v>
      </c>
      <c r="O140" s="20"/>
      <c r="P140" s="20"/>
      <c r="Q140" s="20"/>
      <c r="R140" s="20"/>
      <c r="S140" s="20"/>
      <c r="T140" s="20"/>
      <c r="U140" s="20"/>
      <c r="V140" s="20"/>
      <c r="W140" s="20"/>
      <c r="X140" s="20"/>
      <c r="Y140" s="20"/>
    </row>
    <row r="141" spans="2:25" ht="13" x14ac:dyDescent="0.2">
      <c r="B141" s="20" t="s">
        <v>64</v>
      </c>
      <c r="C141" s="20" t="s">
        <v>64</v>
      </c>
      <c r="D141" s="20" t="s">
        <v>64</v>
      </c>
      <c r="E141" s="20" t="s">
        <v>64</v>
      </c>
      <c r="F141" s="21"/>
      <c r="G141" s="20" t="s">
        <v>64</v>
      </c>
      <c r="H141" s="20" t="s">
        <v>64</v>
      </c>
      <c r="I141" s="20" t="s">
        <v>64</v>
      </c>
      <c r="J141" s="31"/>
      <c r="K141" s="31" t="s">
        <v>64</v>
      </c>
      <c r="L141" s="21" t="s">
        <v>64</v>
      </c>
      <c r="M141" s="20"/>
      <c r="N141" s="20" t="s">
        <v>64</v>
      </c>
      <c r="O141" s="20"/>
      <c r="P141" s="20"/>
      <c r="Q141" s="20"/>
      <c r="R141" s="20"/>
      <c r="S141" s="20"/>
      <c r="T141" s="20"/>
      <c r="U141" s="20"/>
      <c r="V141" s="20"/>
      <c r="W141" s="20"/>
      <c r="X141" s="20"/>
      <c r="Y141" s="20"/>
    </row>
    <row r="142" spans="2:25" ht="13" x14ac:dyDescent="0.2">
      <c r="B142" s="20" t="s">
        <v>64</v>
      </c>
      <c r="C142" s="20" t="s">
        <v>64</v>
      </c>
      <c r="D142" s="20" t="s">
        <v>64</v>
      </c>
      <c r="E142" s="20" t="s">
        <v>64</v>
      </c>
      <c r="F142" s="21"/>
      <c r="G142" s="20" t="s">
        <v>64</v>
      </c>
      <c r="H142" s="20" t="s">
        <v>64</v>
      </c>
      <c r="I142" s="20" t="s">
        <v>64</v>
      </c>
      <c r="J142" s="31"/>
      <c r="K142" s="31" t="s">
        <v>64</v>
      </c>
      <c r="L142" s="21" t="s">
        <v>64</v>
      </c>
      <c r="M142" s="20"/>
      <c r="N142" s="20" t="s">
        <v>64</v>
      </c>
      <c r="O142" s="20"/>
      <c r="P142" s="20"/>
      <c r="Q142" s="20"/>
      <c r="R142" s="20"/>
      <c r="S142" s="20"/>
      <c r="T142" s="20"/>
      <c r="U142" s="20"/>
      <c r="V142" s="20"/>
      <c r="W142" s="20"/>
      <c r="X142" s="20"/>
      <c r="Y142" s="20"/>
    </row>
    <row r="143" spans="2:25" ht="13" x14ac:dyDescent="0.2">
      <c r="B143" s="20" t="s">
        <v>64</v>
      </c>
      <c r="C143" s="20" t="s">
        <v>64</v>
      </c>
      <c r="D143" s="20" t="s">
        <v>64</v>
      </c>
      <c r="E143" s="20" t="s">
        <v>64</v>
      </c>
      <c r="F143" s="21"/>
      <c r="G143" s="20" t="s">
        <v>64</v>
      </c>
      <c r="H143" s="20" t="s">
        <v>64</v>
      </c>
      <c r="I143" s="20" t="s">
        <v>64</v>
      </c>
      <c r="J143" s="31"/>
      <c r="K143" s="31" t="s">
        <v>64</v>
      </c>
      <c r="L143" s="21" t="s">
        <v>64</v>
      </c>
      <c r="M143" s="20"/>
      <c r="N143" s="20" t="s">
        <v>64</v>
      </c>
      <c r="O143" s="20"/>
      <c r="P143" s="20"/>
      <c r="Q143" s="20"/>
      <c r="R143" s="20"/>
      <c r="S143" s="20"/>
      <c r="T143" s="20"/>
      <c r="U143" s="20"/>
      <c r="V143" s="20"/>
      <c r="W143" s="20"/>
      <c r="X143" s="20"/>
      <c r="Y143" s="20"/>
    </row>
    <row r="144" spans="2:25" ht="13" x14ac:dyDescent="0.2">
      <c r="B144" s="20" t="s">
        <v>64</v>
      </c>
      <c r="C144" s="20" t="s">
        <v>64</v>
      </c>
      <c r="D144" s="20" t="s">
        <v>64</v>
      </c>
      <c r="E144" s="20" t="s">
        <v>64</v>
      </c>
      <c r="F144" s="21"/>
      <c r="G144" s="20" t="s">
        <v>64</v>
      </c>
      <c r="H144" s="20" t="s">
        <v>64</v>
      </c>
      <c r="I144" s="20" t="s">
        <v>64</v>
      </c>
      <c r="J144" s="31"/>
      <c r="K144" s="31" t="s">
        <v>64</v>
      </c>
      <c r="L144" s="21" t="s">
        <v>64</v>
      </c>
      <c r="M144" s="20"/>
      <c r="N144" s="20" t="s">
        <v>64</v>
      </c>
      <c r="O144" s="20"/>
      <c r="P144" s="20"/>
      <c r="Q144" s="20"/>
      <c r="R144" s="20"/>
      <c r="S144" s="20"/>
      <c r="T144" s="20"/>
      <c r="U144" s="20"/>
      <c r="V144" s="20"/>
      <c r="W144" s="20"/>
      <c r="X144" s="20"/>
      <c r="Y144" s="20"/>
    </row>
    <row r="145" spans="2:25" ht="13" x14ac:dyDescent="0.2">
      <c r="B145" s="20" t="s">
        <v>64</v>
      </c>
      <c r="C145" s="20" t="s">
        <v>64</v>
      </c>
      <c r="D145" s="20" t="s">
        <v>64</v>
      </c>
      <c r="E145" s="20" t="s">
        <v>64</v>
      </c>
      <c r="F145" s="21"/>
      <c r="G145" s="20" t="s">
        <v>64</v>
      </c>
      <c r="H145" s="20" t="s">
        <v>64</v>
      </c>
      <c r="I145" s="20" t="s">
        <v>64</v>
      </c>
      <c r="J145" s="31"/>
      <c r="K145" s="31" t="s">
        <v>64</v>
      </c>
      <c r="L145" s="21" t="s">
        <v>64</v>
      </c>
      <c r="M145" s="20"/>
      <c r="N145" s="20" t="s">
        <v>64</v>
      </c>
      <c r="O145" s="20"/>
      <c r="P145" s="20"/>
      <c r="Q145" s="20"/>
      <c r="R145" s="20"/>
      <c r="S145" s="20"/>
      <c r="T145" s="20"/>
      <c r="U145" s="20"/>
      <c r="V145" s="20"/>
      <c r="W145" s="20"/>
      <c r="X145" s="20"/>
      <c r="Y145" s="20"/>
    </row>
    <row r="146" spans="2:25" ht="13" x14ac:dyDescent="0.2">
      <c r="B146" s="20" t="s">
        <v>64</v>
      </c>
      <c r="C146" s="20" t="s">
        <v>64</v>
      </c>
      <c r="D146" s="20" t="s">
        <v>64</v>
      </c>
      <c r="E146" s="20" t="s">
        <v>64</v>
      </c>
      <c r="F146" s="21"/>
      <c r="G146" s="20" t="s">
        <v>64</v>
      </c>
      <c r="H146" s="20" t="s">
        <v>64</v>
      </c>
      <c r="I146" s="20" t="s">
        <v>64</v>
      </c>
      <c r="J146" s="31"/>
      <c r="K146" s="31" t="s">
        <v>64</v>
      </c>
      <c r="L146" s="21" t="s">
        <v>64</v>
      </c>
      <c r="M146" s="20"/>
      <c r="N146" s="20" t="s">
        <v>64</v>
      </c>
      <c r="O146" s="20"/>
      <c r="P146" s="20"/>
      <c r="Q146" s="20"/>
      <c r="R146" s="20"/>
      <c r="S146" s="20"/>
      <c r="T146" s="20"/>
      <c r="U146" s="20"/>
      <c r="V146" s="20"/>
      <c r="W146" s="20"/>
      <c r="X146" s="20"/>
      <c r="Y146" s="20"/>
    </row>
    <row r="147" spans="2:25" ht="13" x14ac:dyDescent="0.2">
      <c r="B147" s="20" t="s">
        <v>64</v>
      </c>
      <c r="C147" s="20" t="s">
        <v>64</v>
      </c>
      <c r="D147" s="20" t="s">
        <v>64</v>
      </c>
      <c r="E147" s="20" t="s">
        <v>64</v>
      </c>
      <c r="F147" s="21"/>
      <c r="G147" s="20" t="s">
        <v>64</v>
      </c>
      <c r="H147" s="20" t="s">
        <v>64</v>
      </c>
      <c r="I147" s="20" t="s">
        <v>64</v>
      </c>
      <c r="J147" s="31"/>
      <c r="K147" s="31" t="s">
        <v>64</v>
      </c>
      <c r="L147" s="21" t="s">
        <v>64</v>
      </c>
      <c r="M147" s="20"/>
      <c r="N147" s="20" t="s">
        <v>64</v>
      </c>
      <c r="O147" s="20"/>
      <c r="P147" s="20"/>
      <c r="Q147" s="20"/>
      <c r="R147" s="20"/>
      <c r="S147" s="20"/>
      <c r="T147" s="20"/>
      <c r="U147" s="20"/>
      <c r="V147" s="20"/>
      <c r="W147" s="20"/>
      <c r="X147" s="20"/>
      <c r="Y147" s="20"/>
    </row>
    <row r="148" spans="2:25" ht="13" x14ac:dyDescent="0.2">
      <c r="B148" s="20" t="s">
        <v>64</v>
      </c>
      <c r="C148" s="20" t="s">
        <v>64</v>
      </c>
      <c r="D148" s="20" t="s">
        <v>64</v>
      </c>
      <c r="E148" s="20" t="s">
        <v>64</v>
      </c>
      <c r="F148" s="21"/>
      <c r="G148" s="20" t="s">
        <v>64</v>
      </c>
      <c r="H148" s="20" t="s">
        <v>64</v>
      </c>
      <c r="I148" s="20" t="s">
        <v>64</v>
      </c>
      <c r="J148" s="31"/>
      <c r="K148" s="31" t="s">
        <v>64</v>
      </c>
      <c r="L148" s="21" t="s">
        <v>64</v>
      </c>
      <c r="M148" s="20"/>
      <c r="N148" s="20" t="s">
        <v>64</v>
      </c>
      <c r="O148" s="20"/>
      <c r="P148" s="20"/>
      <c r="Q148" s="20"/>
      <c r="R148" s="20"/>
      <c r="S148" s="20"/>
      <c r="T148" s="20"/>
      <c r="U148" s="20"/>
      <c r="V148" s="20"/>
      <c r="W148" s="20"/>
      <c r="X148" s="20"/>
      <c r="Y148" s="20"/>
    </row>
    <row r="149" spans="2:25" ht="13" x14ac:dyDescent="0.2">
      <c r="B149" s="20" t="s">
        <v>64</v>
      </c>
      <c r="C149" s="20" t="s">
        <v>64</v>
      </c>
      <c r="D149" s="20" t="s">
        <v>64</v>
      </c>
      <c r="E149" s="20" t="s">
        <v>64</v>
      </c>
      <c r="F149" s="21"/>
      <c r="G149" s="20" t="s">
        <v>64</v>
      </c>
      <c r="H149" s="20" t="s">
        <v>64</v>
      </c>
      <c r="I149" s="20" t="s">
        <v>64</v>
      </c>
      <c r="J149" s="31"/>
      <c r="K149" s="31" t="s">
        <v>64</v>
      </c>
      <c r="L149" s="21" t="s">
        <v>64</v>
      </c>
      <c r="M149" s="20"/>
      <c r="N149" s="20" t="s">
        <v>64</v>
      </c>
      <c r="O149" s="20"/>
      <c r="P149" s="20"/>
      <c r="Q149" s="20"/>
      <c r="R149" s="20"/>
      <c r="S149" s="20"/>
      <c r="T149" s="20"/>
      <c r="U149" s="20"/>
      <c r="V149" s="20"/>
      <c r="W149" s="20"/>
      <c r="X149" s="20"/>
      <c r="Y149" s="20"/>
    </row>
    <row r="150" spans="2:25" ht="13" x14ac:dyDescent="0.2">
      <c r="B150" s="20" t="s">
        <v>64</v>
      </c>
      <c r="C150" s="20" t="s">
        <v>64</v>
      </c>
      <c r="D150" s="20" t="s">
        <v>64</v>
      </c>
      <c r="E150" s="20" t="s">
        <v>64</v>
      </c>
      <c r="F150" s="21"/>
      <c r="G150" s="20" t="s">
        <v>64</v>
      </c>
      <c r="H150" s="20" t="s">
        <v>64</v>
      </c>
      <c r="I150" s="20" t="s">
        <v>64</v>
      </c>
      <c r="J150" s="31"/>
      <c r="K150" s="31" t="s">
        <v>64</v>
      </c>
      <c r="L150" s="21" t="s">
        <v>64</v>
      </c>
      <c r="M150" s="20"/>
      <c r="N150" s="20" t="s">
        <v>64</v>
      </c>
      <c r="O150" s="20"/>
      <c r="P150" s="20"/>
      <c r="Q150" s="20"/>
      <c r="R150" s="20"/>
      <c r="S150" s="20"/>
      <c r="T150" s="20"/>
      <c r="U150" s="20"/>
      <c r="V150" s="20"/>
      <c r="W150" s="20"/>
      <c r="X150" s="20"/>
      <c r="Y150" s="20"/>
    </row>
    <row r="151" spans="2:25" ht="13" x14ac:dyDescent="0.2">
      <c r="B151" s="20" t="s">
        <v>64</v>
      </c>
      <c r="C151" s="20" t="s">
        <v>64</v>
      </c>
      <c r="D151" s="20" t="s">
        <v>64</v>
      </c>
      <c r="E151" s="20" t="s">
        <v>64</v>
      </c>
      <c r="F151" s="21"/>
      <c r="G151" s="20" t="s">
        <v>64</v>
      </c>
      <c r="H151" s="20" t="s">
        <v>64</v>
      </c>
      <c r="I151" s="20" t="s">
        <v>64</v>
      </c>
      <c r="J151" s="31"/>
      <c r="K151" s="31" t="s">
        <v>64</v>
      </c>
      <c r="L151" s="21" t="s">
        <v>64</v>
      </c>
      <c r="M151" s="20"/>
      <c r="N151" s="20" t="s">
        <v>64</v>
      </c>
      <c r="O151" s="20"/>
      <c r="P151" s="20"/>
      <c r="Q151" s="20"/>
      <c r="R151" s="20"/>
      <c r="S151" s="20"/>
      <c r="T151" s="20"/>
      <c r="U151" s="20"/>
      <c r="V151" s="20"/>
      <c r="W151" s="20"/>
      <c r="X151" s="20"/>
      <c r="Y151" s="20"/>
    </row>
    <row r="152" spans="2:25" ht="13" x14ac:dyDescent="0.2">
      <c r="B152" s="20" t="s">
        <v>64</v>
      </c>
      <c r="C152" s="20" t="s">
        <v>64</v>
      </c>
      <c r="D152" s="20" t="s">
        <v>64</v>
      </c>
      <c r="E152" s="20" t="s">
        <v>64</v>
      </c>
      <c r="F152" s="21"/>
      <c r="G152" s="20" t="s">
        <v>64</v>
      </c>
      <c r="H152" s="20" t="s">
        <v>64</v>
      </c>
      <c r="I152" s="20" t="s">
        <v>64</v>
      </c>
      <c r="J152" s="31"/>
      <c r="K152" s="31" t="s">
        <v>64</v>
      </c>
      <c r="L152" s="21" t="s">
        <v>64</v>
      </c>
      <c r="M152" s="20"/>
      <c r="N152" s="20" t="s">
        <v>64</v>
      </c>
      <c r="O152" s="20"/>
      <c r="P152" s="20"/>
      <c r="Q152" s="20"/>
      <c r="R152" s="20"/>
      <c r="S152" s="20"/>
      <c r="T152" s="20"/>
      <c r="U152" s="20"/>
      <c r="V152" s="20"/>
      <c r="W152" s="20"/>
      <c r="X152" s="20"/>
      <c r="Y152" s="20"/>
    </row>
    <row r="153" spans="2:25" ht="13" x14ac:dyDescent="0.2">
      <c r="B153" s="20" t="s">
        <v>64</v>
      </c>
      <c r="C153" s="20" t="s">
        <v>64</v>
      </c>
      <c r="D153" s="20" t="s">
        <v>64</v>
      </c>
      <c r="E153" s="20" t="s">
        <v>64</v>
      </c>
      <c r="F153" s="21"/>
      <c r="G153" s="20" t="s">
        <v>64</v>
      </c>
      <c r="H153" s="20" t="s">
        <v>64</v>
      </c>
      <c r="I153" s="20" t="s">
        <v>64</v>
      </c>
      <c r="J153" s="31"/>
      <c r="K153" s="31" t="s">
        <v>64</v>
      </c>
      <c r="L153" s="21" t="s">
        <v>64</v>
      </c>
      <c r="M153" s="20"/>
      <c r="N153" s="20" t="s">
        <v>64</v>
      </c>
      <c r="O153" s="20"/>
      <c r="P153" s="20"/>
      <c r="Q153" s="20"/>
      <c r="R153" s="20"/>
      <c r="S153" s="20"/>
      <c r="T153" s="20"/>
      <c r="U153" s="20"/>
      <c r="V153" s="20"/>
      <c r="W153" s="20"/>
      <c r="X153" s="20"/>
      <c r="Y153" s="20"/>
    </row>
    <row r="154" spans="2:25" ht="13" x14ac:dyDescent="0.2">
      <c r="B154" s="20" t="s">
        <v>64</v>
      </c>
      <c r="C154" s="20" t="s">
        <v>64</v>
      </c>
      <c r="D154" s="20" t="s">
        <v>64</v>
      </c>
      <c r="E154" s="20" t="s">
        <v>64</v>
      </c>
      <c r="F154" s="21"/>
      <c r="G154" s="20" t="s">
        <v>64</v>
      </c>
      <c r="H154" s="20" t="s">
        <v>64</v>
      </c>
      <c r="I154" s="20" t="s">
        <v>64</v>
      </c>
      <c r="J154" s="31"/>
      <c r="K154" s="31" t="s">
        <v>64</v>
      </c>
      <c r="L154" s="21" t="s">
        <v>64</v>
      </c>
      <c r="M154" s="20"/>
      <c r="N154" s="20" t="s">
        <v>64</v>
      </c>
      <c r="O154" s="20"/>
      <c r="P154" s="20"/>
      <c r="Q154" s="20"/>
      <c r="R154" s="20"/>
      <c r="S154" s="20"/>
      <c r="T154" s="20"/>
      <c r="U154" s="20"/>
      <c r="V154" s="20"/>
      <c r="W154" s="20"/>
      <c r="X154" s="20"/>
      <c r="Y154" s="20"/>
    </row>
    <row r="155" spans="2:25" ht="13" x14ac:dyDescent="0.2">
      <c r="B155" s="20" t="s">
        <v>64</v>
      </c>
      <c r="C155" s="20" t="s">
        <v>64</v>
      </c>
      <c r="D155" s="20" t="s">
        <v>64</v>
      </c>
      <c r="E155" s="20" t="s">
        <v>64</v>
      </c>
      <c r="F155" s="21"/>
      <c r="G155" s="20" t="s">
        <v>64</v>
      </c>
      <c r="H155" s="20" t="s">
        <v>64</v>
      </c>
      <c r="I155" s="20" t="s">
        <v>64</v>
      </c>
      <c r="J155" s="31"/>
      <c r="K155" s="31" t="s">
        <v>64</v>
      </c>
      <c r="L155" s="21" t="s">
        <v>64</v>
      </c>
      <c r="M155" s="20"/>
      <c r="N155" s="20" t="s">
        <v>64</v>
      </c>
      <c r="O155" s="20"/>
      <c r="P155" s="20"/>
      <c r="Q155" s="20"/>
      <c r="R155" s="20"/>
      <c r="S155" s="20"/>
      <c r="T155" s="20"/>
      <c r="U155" s="20"/>
      <c r="V155" s="20"/>
      <c r="W155" s="20"/>
      <c r="X155" s="20"/>
      <c r="Y155" s="20"/>
    </row>
    <row r="156" spans="2:25" ht="13" x14ac:dyDescent="0.2">
      <c r="B156" s="20" t="s">
        <v>64</v>
      </c>
      <c r="C156" s="20" t="s">
        <v>64</v>
      </c>
      <c r="D156" s="20" t="s">
        <v>64</v>
      </c>
      <c r="E156" s="20" t="s">
        <v>64</v>
      </c>
      <c r="F156" s="21"/>
      <c r="G156" s="20" t="s">
        <v>64</v>
      </c>
      <c r="H156" s="20" t="s">
        <v>64</v>
      </c>
      <c r="I156" s="20" t="s">
        <v>64</v>
      </c>
      <c r="J156" s="31"/>
      <c r="K156" s="31" t="s">
        <v>64</v>
      </c>
      <c r="L156" s="21" t="s">
        <v>64</v>
      </c>
      <c r="M156" s="20"/>
      <c r="N156" s="20" t="s">
        <v>64</v>
      </c>
      <c r="O156" s="20"/>
      <c r="P156" s="20"/>
      <c r="Q156" s="20"/>
      <c r="R156" s="20"/>
      <c r="S156" s="20"/>
      <c r="T156" s="20"/>
      <c r="U156" s="20"/>
      <c r="V156" s="20"/>
      <c r="W156" s="20"/>
      <c r="X156" s="20"/>
      <c r="Y156" s="20"/>
    </row>
    <row r="157" spans="2:25" ht="13" x14ac:dyDescent="0.2">
      <c r="B157" s="20" t="s">
        <v>64</v>
      </c>
      <c r="C157" s="20" t="s">
        <v>64</v>
      </c>
      <c r="D157" s="20" t="s">
        <v>64</v>
      </c>
      <c r="E157" s="20" t="s">
        <v>64</v>
      </c>
      <c r="F157" s="21"/>
      <c r="G157" s="20" t="s">
        <v>64</v>
      </c>
      <c r="H157" s="20" t="s">
        <v>64</v>
      </c>
      <c r="I157" s="20" t="s">
        <v>64</v>
      </c>
      <c r="J157" s="31"/>
      <c r="K157" s="31" t="s">
        <v>64</v>
      </c>
      <c r="L157" s="21" t="s">
        <v>64</v>
      </c>
      <c r="M157" s="20"/>
      <c r="N157" s="20" t="s">
        <v>64</v>
      </c>
      <c r="O157" s="20"/>
      <c r="P157" s="20"/>
      <c r="Q157" s="20"/>
      <c r="R157" s="20"/>
      <c r="S157" s="20"/>
      <c r="T157" s="20"/>
      <c r="U157" s="20"/>
      <c r="V157" s="20"/>
      <c r="W157" s="20"/>
      <c r="X157" s="20"/>
      <c r="Y157" s="20"/>
    </row>
    <row r="158" spans="2:25" ht="13" x14ac:dyDescent="0.2">
      <c r="B158" s="20" t="s">
        <v>64</v>
      </c>
      <c r="C158" s="20" t="s">
        <v>64</v>
      </c>
      <c r="D158" s="20" t="s">
        <v>64</v>
      </c>
      <c r="E158" s="20" t="s">
        <v>64</v>
      </c>
      <c r="F158" s="21"/>
      <c r="G158" s="20" t="s">
        <v>64</v>
      </c>
      <c r="H158" s="20" t="s">
        <v>64</v>
      </c>
      <c r="I158" s="20" t="s">
        <v>64</v>
      </c>
      <c r="J158" s="31"/>
      <c r="K158" s="31" t="s">
        <v>64</v>
      </c>
      <c r="L158" s="21" t="s">
        <v>64</v>
      </c>
      <c r="M158" s="20"/>
      <c r="N158" s="20" t="s">
        <v>64</v>
      </c>
      <c r="O158" s="20"/>
      <c r="P158" s="20"/>
      <c r="Q158" s="20"/>
      <c r="R158" s="20"/>
      <c r="S158" s="20"/>
      <c r="T158" s="20"/>
      <c r="U158" s="20"/>
      <c r="V158" s="20"/>
      <c r="W158" s="20"/>
      <c r="X158" s="20"/>
      <c r="Y158" s="20"/>
    </row>
    <row r="159" spans="2:25" ht="13" x14ac:dyDescent="0.2">
      <c r="B159" s="20" t="s">
        <v>64</v>
      </c>
      <c r="C159" s="20" t="s">
        <v>64</v>
      </c>
      <c r="D159" s="20" t="s">
        <v>64</v>
      </c>
      <c r="E159" s="20" t="s">
        <v>64</v>
      </c>
      <c r="F159" s="21"/>
      <c r="G159" s="20" t="s">
        <v>64</v>
      </c>
      <c r="H159" s="20" t="s">
        <v>64</v>
      </c>
      <c r="I159" s="20" t="s">
        <v>64</v>
      </c>
      <c r="J159" s="31"/>
      <c r="K159" s="31" t="s">
        <v>64</v>
      </c>
      <c r="L159" s="21" t="s">
        <v>64</v>
      </c>
      <c r="M159" s="20"/>
      <c r="N159" s="20" t="s">
        <v>64</v>
      </c>
      <c r="O159" s="20"/>
      <c r="P159" s="20"/>
      <c r="Q159" s="20"/>
      <c r="R159" s="20"/>
      <c r="S159" s="20"/>
      <c r="T159" s="20"/>
      <c r="U159" s="20"/>
      <c r="V159" s="20"/>
      <c r="W159" s="20"/>
      <c r="X159" s="20"/>
      <c r="Y159" s="20"/>
    </row>
    <row r="160" spans="2:25" ht="13" x14ac:dyDescent="0.2">
      <c r="B160" s="20" t="s">
        <v>64</v>
      </c>
      <c r="C160" s="20" t="s">
        <v>64</v>
      </c>
      <c r="D160" s="20" t="s">
        <v>64</v>
      </c>
      <c r="E160" s="20" t="s">
        <v>64</v>
      </c>
      <c r="F160" s="21"/>
      <c r="G160" s="20" t="s">
        <v>64</v>
      </c>
      <c r="H160" s="20" t="s">
        <v>64</v>
      </c>
      <c r="I160" s="20" t="s">
        <v>64</v>
      </c>
      <c r="J160" s="31"/>
      <c r="K160" s="31" t="s">
        <v>64</v>
      </c>
      <c r="L160" s="21" t="s">
        <v>64</v>
      </c>
      <c r="M160" s="20"/>
      <c r="N160" s="20" t="s">
        <v>64</v>
      </c>
      <c r="O160" s="20"/>
      <c r="P160" s="20"/>
      <c r="Q160" s="20"/>
      <c r="R160" s="20"/>
      <c r="S160" s="20"/>
      <c r="T160" s="20"/>
      <c r="U160" s="20"/>
      <c r="V160" s="20"/>
      <c r="W160" s="20"/>
      <c r="X160" s="20"/>
      <c r="Y160" s="20"/>
    </row>
    <row r="161" spans="2:25" ht="13" x14ac:dyDescent="0.2">
      <c r="B161" s="20" t="s">
        <v>64</v>
      </c>
      <c r="C161" s="20" t="s">
        <v>64</v>
      </c>
      <c r="D161" s="20" t="s">
        <v>64</v>
      </c>
      <c r="E161" s="20" t="s">
        <v>64</v>
      </c>
      <c r="F161" s="21"/>
      <c r="G161" s="20" t="s">
        <v>64</v>
      </c>
      <c r="H161" s="20" t="s">
        <v>64</v>
      </c>
      <c r="I161" s="20" t="s">
        <v>64</v>
      </c>
      <c r="J161" s="31"/>
      <c r="K161" s="31" t="s">
        <v>64</v>
      </c>
      <c r="L161" s="21" t="s">
        <v>64</v>
      </c>
      <c r="M161" s="20"/>
      <c r="N161" s="20" t="s">
        <v>64</v>
      </c>
      <c r="O161" s="20"/>
      <c r="P161" s="20"/>
      <c r="Q161" s="20"/>
      <c r="R161" s="20"/>
      <c r="S161" s="20"/>
      <c r="T161" s="20"/>
      <c r="U161" s="20"/>
      <c r="V161" s="20"/>
      <c r="W161" s="20"/>
      <c r="X161" s="20"/>
      <c r="Y161" s="20"/>
    </row>
    <row r="162" spans="2:25" ht="13" x14ac:dyDescent="0.2">
      <c r="B162" s="20" t="s">
        <v>64</v>
      </c>
      <c r="C162" s="20" t="s">
        <v>64</v>
      </c>
      <c r="D162" s="20" t="s">
        <v>64</v>
      </c>
      <c r="E162" s="20" t="s">
        <v>64</v>
      </c>
      <c r="F162" s="21"/>
      <c r="G162" s="20" t="s">
        <v>64</v>
      </c>
      <c r="H162" s="20" t="s">
        <v>64</v>
      </c>
      <c r="I162" s="20" t="s">
        <v>64</v>
      </c>
      <c r="J162" s="31"/>
      <c r="K162" s="31" t="s">
        <v>64</v>
      </c>
      <c r="L162" s="21" t="s">
        <v>64</v>
      </c>
      <c r="M162" s="20"/>
      <c r="N162" s="20" t="s">
        <v>64</v>
      </c>
      <c r="O162" s="20"/>
      <c r="P162" s="20"/>
      <c r="Q162" s="20"/>
      <c r="R162" s="20"/>
      <c r="S162" s="20"/>
      <c r="T162" s="20"/>
      <c r="U162" s="20"/>
      <c r="V162" s="20"/>
      <c r="W162" s="20"/>
      <c r="X162" s="20"/>
      <c r="Y162" s="20"/>
    </row>
    <row r="163" spans="2:25" ht="13" x14ac:dyDescent="0.2">
      <c r="B163" s="20" t="s">
        <v>64</v>
      </c>
      <c r="C163" s="20" t="s">
        <v>64</v>
      </c>
      <c r="D163" s="20" t="s">
        <v>64</v>
      </c>
      <c r="E163" s="20" t="s">
        <v>64</v>
      </c>
      <c r="F163" s="21"/>
      <c r="G163" s="20" t="s">
        <v>64</v>
      </c>
      <c r="H163" s="20" t="s">
        <v>64</v>
      </c>
      <c r="I163" s="20" t="s">
        <v>64</v>
      </c>
      <c r="J163" s="31"/>
      <c r="K163" s="31" t="s">
        <v>64</v>
      </c>
      <c r="L163" s="21" t="s">
        <v>64</v>
      </c>
      <c r="M163" s="20"/>
      <c r="N163" s="20" t="s">
        <v>64</v>
      </c>
      <c r="O163" s="20"/>
      <c r="P163" s="20"/>
      <c r="Q163" s="20"/>
      <c r="R163" s="20"/>
      <c r="S163" s="20"/>
      <c r="T163" s="20"/>
      <c r="U163" s="20"/>
      <c r="V163" s="20"/>
      <c r="W163" s="20"/>
      <c r="X163" s="20"/>
      <c r="Y163" s="20"/>
    </row>
    <row r="164" spans="2:25" ht="13" x14ac:dyDescent="0.2">
      <c r="B164" s="20" t="s">
        <v>64</v>
      </c>
      <c r="C164" s="20" t="s">
        <v>64</v>
      </c>
      <c r="D164" s="20" t="s">
        <v>64</v>
      </c>
      <c r="E164" s="20" t="s">
        <v>64</v>
      </c>
      <c r="F164" s="21"/>
      <c r="G164" s="20" t="s">
        <v>64</v>
      </c>
      <c r="H164" s="20" t="s">
        <v>64</v>
      </c>
      <c r="I164" s="20" t="s">
        <v>64</v>
      </c>
      <c r="J164" s="31"/>
      <c r="K164" s="31" t="s">
        <v>64</v>
      </c>
      <c r="L164" s="21" t="s">
        <v>64</v>
      </c>
      <c r="M164" s="20"/>
      <c r="N164" s="20" t="s">
        <v>64</v>
      </c>
      <c r="O164" s="20"/>
      <c r="P164" s="20"/>
      <c r="Q164" s="20"/>
      <c r="R164" s="20"/>
      <c r="S164" s="20"/>
      <c r="T164" s="20"/>
      <c r="U164" s="20"/>
      <c r="V164" s="20"/>
      <c r="W164" s="20"/>
      <c r="X164" s="20"/>
      <c r="Y164" s="20"/>
    </row>
    <row r="165" spans="2:25" ht="13" x14ac:dyDescent="0.2">
      <c r="B165" s="20" t="s">
        <v>64</v>
      </c>
      <c r="C165" s="20" t="s">
        <v>64</v>
      </c>
      <c r="D165" s="20" t="s">
        <v>64</v>
      </c>
      <c r="E165" s="20" t="s">
        <v>64</v>
      </c>
      <c r="F165" s="21"/>
      <c r="G165" s="20" t="s">
        <v>64</v>
      </c>
      <c r="H165" s="20" t="s">
        <v>64</v>
      </c>
      <c r="I165" s="20" t="s">
        <v>64</v>
      </c>
      <c r="J165" s="31"/>
      <c r="K165" s="31" t="s">
        <v>64</v>
      </c>
      <c r="L165" s="21" t="s">
        <v>64</v>
      </c>
      <c r="M165" s="20"/>
      <c r="N165" s="20" t="s">
        <v>64</v>
      </c>
      <c r="O165" s="20"/>
      <c r="P165" s="20"/>
      <c r="Q165" s="20"/>
      <c r="R165" s="20"/>
      <c r="S165" s="20"/>
      <c r="T165" s="20"/>
      <c r="U165" s="20"/>
      <c r="V165" s="20"/>
      <c r="W165" s="20"/>
      <c r="X165" s="20"/>
      <c r="Y165" s="20"/>
    </row>
    <row r="166" spans="2:25" ht="13" x14ac:dyDescent="0.2">
      <c r="B166" s="20" t="s">
        <v>64</v>
      </c>
      <c r="C166" s="20" t="s">
        <v>64</v>
      </c>
      <c r="D166" s="20" t="s">
        <v>64</v>
      </c>
      <c r="E166" s="20" t="s">
        <v>64</v>
      </c>
      <c r="F166" s="21"/>
      <c r="G166" s="20" t="s">
        <v>64</v>
      </c>
      <c r="H166" s="20" t="s">
        <v>64</v>
      </c>
      <c r="I166" s="20" t="s">
        <v>64</v>
      </c>
      <c r="J166" s="31"/>
      <c r="K166" s="31" t="s">
        <v>64</v>
      </c>
      <c r="L166" s="21" t="s">
        <v>64</v>
      </c>
      <c r="M166" s="20"/>
      <c r="N166" s="20" t="s">
        <v>64</v>
      </c>
      <c r="O166" s="20"/>
      <c r="P166" s="20"/>
      <c r="Q166" s="20"/>
      <c r="R166" s="20"/>
      <c r="S166" s="20"/>
      <c r="T166" s="20"/>
      <c r="U166" s="20"/>
      <c r="V166" s="20"/>
      <c r="W166" s="20"/>
      <c r="X166" s="20"/>
      <c r="Y166" s="20"/>
    </row>
    <row r="167" spans="2:25" ht="13" x14ac:dyDescent="0.2">
      <c r="B167" s="20" t="s">
        <v>64</v>
      </c>
      <c r="C167" s="20" t="s">
        <v>64</v>
      </c>
      <c r="D167" s="20" t="s">
        <v>64</v>
      </c>
      <c r="E167" s="20" t="s">
        <v>64</v>
      </c>
      <c r="F167" s="21"/>
      <c r="G167" s="20" t="s">
        <v>64</v>
      </c>
      <c r="H167" s="20" t="s">
        <v>64</v>
      </c>
      <c r="I167" s="20" t="s">
        <v>64</v>
      </c>
      <c r="J167" s="31"/>
      <c r="K167" s="31" t="s">
        <v>64</v>
      </c>
      <c r="L167" s="21" t="s">
        <v>64</v>
      </c>
      <c r="M167" s="20"/>
      <c r="N167" s="20" t="s">
        <v>64</v>
      </c>
      <c r="O167" s="20"/>
      <c r="P167" s="20"/>
      <c r="Q167" s="20"/>
      <c r="R167" s="20"/>
      <c r="S167" s="20"/>
      <c r="T167" s="20"/>
      <c r="U167" s="20"/>
      <c r="V167" s="20"/>
      <c r="W167" s="20"/>
      <c r="X167" s="20"/>
      <c r="Y167" s="20"/>
    </row>
    <row r="168" spans="2:25" ht="13" x14ac:dyDescent="0.2">
      <c r="B168" s="20" t="s">
        <v>64</v>
      </c>
      <c r="C168" s="20" t="s">
        <v>64</v>
      </c>
      <c r="D168" s="20" t="s">
        <v>64</v>
      </c>
      <c r="E168" s="20" t="s">
        <v>64</v>
      </c>
      <c r="F168" s="21"/>
      <c r="G168" s="20" t="s">
        <v>64</v>
      </c>
      <c r="H168" s="20" t="s">
        <v>64</v>
      </c>
      <c r="I168" s="20" t="s">
        <v>64</v>
      </c>
      <c r="J168" s="31"/>
      <c r="K168" s="31" t="s">
        <v>64</v>
      </c>
      <c r="L168" s="21" t="s">
        <v>64</v>
      </c>
      <c r="M168" s="20"/>
      <c r="N168" s="20" t="s">
        <v>64</v>
      </c>
      <c r="O168" s="20"/>
      <c r="P168" s="20"/>
      <c r="Q168" s="20"/>
      <c r="R168" s="20"/>
      <c r="S168" s="20"/>
      <c r="T168" s="20"/>
      <c r="U168" s="20"/>
      <c r="V168" s="20"/>
      <c r="W168" s="20"/>
      <c r="X168" s="20"/>
      <c r="Y168" s="20"/>
    </row>
    <row r="169" spans="2:25" ht="13" x14ac:dyDescent="0.2">
      <c r="B169" s="20" t="s">
        <v>64</v>
      </c>
      <c r="C169" s="20" t="s">
        <v>64</v>
      </c>
      <c r="D169" s="20" t="s">
        <v>64</v>
      </c>
      <c r="E169" s="20" t="s">
        <v>64</v>
      </c>
      <c r="F169" s="21"/>
      <c r="G169" s="20" t="s">
        <v>64</v>
      </c>
      <c r="H169" s="20" t="s">
        <v>64</v>
      </c>
      <c r="I169" s="20" t="s">
        <v>64</v>
      </c>
      <c r="J169" s="31"/>
      <c r="K169" s="31" t="s">
        <v>64</v>
      </c>
      <c r="L169" s="21" t="s">
        <v>64</v>
      </c>
      <c r="M169" s="20"/>
      <c r="N169" s="20" t="s">
        <v>64</v>
      </c>
      <c r="O169" s="20"/>
      <c r="P169" s="20"/>
      <c r="Q169" s="20"/>
      <c r="R169" s="20"/>
      <c r="S169" s="20"/>
      <c r="T169" s="20"/>
      <c r="U169" s="20"/>
      <c r="V169" s="20"/>
      <c r="W169" s="20"/>
      <c r="X169" s="20"/>
      <c r="Y169" s="20"/>
    </row>
    <row r="170" spans="2:25" ht="13" x14ac:dyDescent="0.2">
      <c r="B170" s="20" t="s">
        <v>64</v>
      </c>
      <c r="C170" s="20" t="s">
        <v>64</v>
      </c>
      <c r="D170" s="20" t="s">
        <v>64</v>
      </c>
      <c r="E170" s="20" t="s">
        <v>64</v>
      </c>
      <c r="F170" s="21"/>
      <c r="G170" s="20" t="s">
        <v>64</v>
      </c>
      <c r="H170" s="20" t="s">
        <v>64</v>
      </c>
      <c r="I170" s="20" t="s">
        <v>64</v>
      </c>
      <c r="J170" s="31"/>
      <c r="K170" s="31" t="s">
        <v>64</v>
      </c>
      <c r="L170" s="21" t="s">
        <v>64</v>
      </c>
      <c r="M170" s="20"/>
      <c r="N170" s="20" t="s">
        <v>64</v>
      </c>
      <c r="O170" s="20"/>
      <c r="P170" s="20"/>
      <c r="Q170" s="20"/>
      <c r="R170" s="20"/>
      <c r="S170" s="20"/>
      <c r="T170" s="20"/>
      <c r="U170" s="20"/>
      <c r="V170" s="20"/>
      <c r="W170" s="20"/>
      <c r="X170" s="20"/>
      <c r="Y170" s="20"/>
    </row>
    <row r="171" spans="2:25" ht="13" x14ac:dyDescent="0.2">
      <c r="B171" s="20" t="s">
        <v>64</v>
      </c>
      <c r="C171" s="20" t="s">
        <v>64</v>
      </c>
      <c r="D171" s="20" t="s">
        <v>64</v>
      </c>
      <c r="E171" s="20" t="s">
        <v>64</v>
      </c>
      <c r="F171" s="21"/>
      <c r="G171" s="20" t="s">
        <v>64</v>
      </c>
      <c r="H171" s="20" t="s">
        <v>64</v>
      </c>
      <c r="I171" s="20" t="s">
        <v>64</v>
      </c>
      <c r="J171" s="31"/>
      <c r="K171" s="31" t="s">
        <v>64</v>
      </c>
      <c r="L171" s="21" t="s">
        <v>64</v>
      </c>
      <c r="M171" s="20"/>
      <c r="N171" s="20" t="s">
        <v>64</v>
      </c>
      <c r="O171" s="20"/>
      <c r="P171" s="20"/>
      <c r="Q171" s="20"/>
      <c r="R171" s="20"/>
      <c r="S171" s="20"/>
      <c r="T171" s="20"/>
      <c r="U171" s="20"/>
      <c r="V171" s="20"/>
      <c r="W171" s="20"/>
      <c r="X171" s="20"/>
      <c r="Y171" s="20"/>
    </row>
    <row r="172" spans="2:25" ht="13" x14ac:dyDescent="0.2">
      <c r="B172" s="20" t="s">
        <v>64</v>
      </c>
      <c r="C172" s="20" t="s">
        <v>64</v>
      </c>
      <c r="D172" s="20" t="s">
        <v>64</v>
      </c>
      <c r="E172" s="20" t="s">
        <v>64</v>
      </c>
      <c r="F172" s="21"/>
      <c r="G172" s="20" t="s">
        <v>64</v>
      </c>
      <c r="H172" s="20" t="s">
        <v>64</v>
      </c>
      <c r="I172" s="20" t="s">
        <v>64</v>
      </c>
      <c r="J172" s="31"/>
      <c r="K172" s="31" t="s">
        <v>64</v>
      </c>
      <c r="L172" s="21" t="s">
        <v>64</v>
      </c>
      <c r="M172" s="20"/>
      <c r="N172" s="20" t="s">
        <v>64</v>
      </c>
      <c r="O172" s="20"/>
      <c r="P172" s="20"/>
      <c r="Q172" s="20"/>
      <c r="R172" s="20"/>
      <c r="S172" s="20"/>
      <c r="T172" s="20"/>
      <c r="U172" s="20"/>
      <c r="V172" s="20"/>
      <c r="W172" s="20"/>
      <c r="X172" s="20"/>
      <c r="Y172" s="20"/>
    </row>
    <row r="173" spans="2:25" ht="13" x14ac:dyDescent="0.2">
      <c r="B173" s="20" t="s">
        <v>64</v>
      </c>
      <c r="C173" s="20" t="s">
        <v>64</v>
      </c>
      <c r="D173" s="20" t="s">
        <v>64</v>
      </c>
      <c r="E173" s="20" t="s">
        <v>64</v>
      </c>
      <c r="F173" s="21"/>
      <c r="G173" s="20" t="s">
        <v>64</v>
      </c>
      <c r="H173" s="20" t="s">
        <v>64</v>
      </c>
      <c r="I173" s="20" t="s">
        <v>64</v>
      </c>
      <c r="J173" s="31"/>
      <c r="K173" s="31" t="s">
        <v>64</v>
      </c>
      <c r="L173" s="21" t="s">
        <v>64</v>
      </c>
      <c r="M173" s="20"/>
      <c r="N173" s="20" t="s">
        <v>64</v>
      </c>
      <c r="O173" s="20"/>
      <c r="P173" s="20"/>
      <c r="Q173" s="20"/>
      <c r="R173" s="20"/>
      <c r="S173" s="20"/>
      <c r="T173" s="20"/>
      <c r="U173" s="20"/>
      <c r="V173" s="20"/>
      <c r="W173" s="20"/>
      <c r="X173" s="20"/>
      <c r="Y173" s="20"/>
    </row>
    <row r="174" spans="2:25" ht="13" x14ac:dyDescent="0.2">
      <c r="B174" s="20" t="s">
        <v>64</v>
      </c>
      <c r="C174" s="20" t="s">
        <v>64</v>
      </c>
      <c r="D174" s="20" t="s">
        <v>64</v>
      </c>
      <c r="E174" s="20" t="s">
        <v>64</v>
      </c>
      <c r="F174" s="21"/>
      <c r="G174" s="20" t="s">
        <v>64</v>
      </c>
      <c r="H174" s="20" t="s">
        <v>64</v>
      </c>
      <c r="I174" s="20" t="s">
        <v>64</v>
      </c>
      <c r="J174" s="31"/>
      <c r="K174" s="31" t="s">
        <v>64</v>
      </c>
      <c r="L174" s="21" t="s">
        <v>64</v>
      </c>
      <c r="M174" s="20"/>
      <c r="N174" s="20" t="s">
        <v>64</v>
      </c>
      <c r="O174" s="20"/>
      <c r="P174" s="20"/>
      <c r="Q174" s="20"/>
      <c r="R174" s="20"/>
      <c r="S174" s="20"/>
      <c r="T174" s="20"/>
      <c r="U174" s="20"/>
      <c r="V174" s="20"/>
      <c r="W174" s="20"/>
      <c r="X174" s="20"/>
      <c r="Y174" s="20"/>
    </row>
    <row r="175" spans="2:25" ht="13" x14ac:dyDescent="0.2">
      <c r="B175" s="20" t="s">
        <v>64</v>
      </c>
      <c r="C175" s="20" t="s">
        <v>64</v>
      </c>
      <c r="D175" s="20" t="s">
        <v>64</v>
      </c>
      <c r="E175" s="20" t="s">
        <v>64</v>
      </c>
      <c r="F175" s="21"/>
      <c r="G175" s="20" t="s">
        <v>64</v>
      </c>
      <c r="H175" s="20" t="s">
        <v>64</v>
      </c>
      <c r="I175" s="20" t="s">
        <v>64</v>
      </c>
      <c r="J175" s="31"/>
      <c r="K175" s="31" t="s">
        <v>64</v>
      </c>
      <c r="L175" s="21" t="s">
        <v>64</v>
      </c>
      <c r="M175" s="20"/>
      <c r="N175" s="20" t="s">
        <v>64</v>
      </c>
      <c r="O175" s="20"/>
      <c r="P175" s="20"/>
      <c r="Q175" s="20"/>
      <c r="R175" s="20"/>
      <c r="S175" s="20"/>
      <c r="T175" s="20"/>
      <c r="U175" s="20"/>
      <c r="V175" s="20"/>
      <c r="W175" s="20"/>
      <c r="X175" s="20"/>
      <c r="Y175" s="20"/>
    </row>
    <row r="176" spans="2:25" ht="13" x14ac:dyDescent="0.2">
      <c r="B176" s="20" t="s">
        <v>64</v>
      </c>
      <c r="C176" s="20" t="s">
        <v>64</v>
      </c>
      <c r="D176" s="20" t="s">
        <v>64</v>
      </c>
      <c r="E176" s="20" t="s">
        <v>64</v>
      </c>
      <c r="F176" s="21"/>
      <c r="G176" s="20" t="s">
        <v>64</v>
      </c>
      <c r="H176" s="20" t="s">
        <v>64</v>
      </c>
      <c r="I176" s="20" t="s">
        <v>64</v>
      </c>
      <c r="J176" s="31"/>
      <c r="K176" s="31" t="s">
        <v>64</v>
      </c>
      <c r="L176" s="21" t="s">
        <v>64</v>
      </c>
      <c r="M176" s="20"/>
      <c r="N176" s="20" t="s">
        <v>64</v>
      </c>
      <c r="O176" s="20"/>
      <c r="P176" s="20"/>
      <c r="Q176" s="20"/>
      <c r="R176" s="20"/>
      <c r="S176" s="20"/>
      <c r="T176" s="20"/>
      <c r="U176" s="20"/>
      <c r="V176" s="20"/>
      <c r="W176" s="20"/>
      <c r="X176" s="20"/>
      <c r="Y176" s="20"/>
    </row>
    <row r="177" spans="2:25" ht="13" x14ac:dyDescent="0.2">
      <c r="B177" s="20" t="s">
        <v>64</v>
      </c>
      <c r="C177" s="20" t="s">
        <v>64</v>
      </c>
      <c r="D177" s="20" t="s">
        <v>64</v>
      </c>
      <c r="E177" s="20" t="s">
        <v>64</v>
      </c>
      <c r="F177" s="21"/>
      <c r="G177" s="20" t="s">
        <v>64</v>
      </c>
      <c r="H177" s="20" t="s">
        <v>64</v>
      </c>
      <c r="I177" s="20" t="s">
        <v>64</v>
      </c>
      <c r="J177" s="31"/>
      <c r="K177" s="31" t="s">
        <v>64</v>
      </c>
      <c r="L177" s="21" t="s">
        <v>64</v>
      </c>
      <c r="M177" s="20"/>
      <c r="N177" s="20" t="s">
        <v>64</v>
      </c>
      <c r="O177" s="20"/>
      <c r="P177" s="20"/>
      <c r="Q177" s="20"/>
      <c r="R177" s="20"/>
      <c r="S177" s="20"/>
      <c r="T177" s="20"/>
      <c r="U177" s="20"/>
      <c r="V177" s="20"/>
      <c r="W177" s="20"/>
      <c r="X177" s="20"/>
      <c r="Y177" s="20"/>
    </row>
    <row r="178" spans="2:25" ht="13" x14ac:dyDescent="0.2">
      <c r="B178" s="20" t="s">
        <v>64</v>
      </c>
      <c r="C178" s="20" t="s">
        <v>64</v>
      </c>
      <c r="D178" s="20" t="s">
        <v>64</v>
      </c>
      <c r="E178" s="20" t="s">
        <v>64</v>
      </c>
      <c r="F178" s="21"/>
      <c r="G178" s="20" t="s">
        <v>64</v>
      </c>
      <c r="H178" s="20" t="s">
        <v>64</v>
      </c>
      <c r="I178" s="20" t="s">
        <v>64</v>
      </c>
      <c r="J178" s="31"/>
      <c r="K178" s="31" t="s">
        <v>64</v>
      </c>
      <c r="L178" s="21" t="s">
        <v>64</v>
      </c>
      <c r="M178" s="20"/>
      <c r="N178" s="20" t="s">
        <v>64</v>
      </c>
      <c r="O178" s="20"/>
      <c r="P178" s="20"/>
      <c r="Q178" s="20"/>
      <c r="R178" s="20"/>
      <c r="S178" s="20"/>
      <c r="T178" s="20"/>
      <c r="U178" s="20"/>
      <c r="V178" s="20"/>
      <c r="W178" s="20"/>
      <c r="X178" s="20"/>
      <c r="Y178" s="20"/>
    </row>
    <row r="179" spans="2:25" ht="13" x14ac:dyDescent="0.2">
      <c r="B179" s="20" t="s">
        <v>64</v>
      </c>
      <c r="C179" s="20" t="s">
        <v>64</v>
      </c>
      <c r="D179" s="20" t="s">
        <v>64</v>
      </c>
      <c r="E179" s="20" t="s">
        <v>64</v>
      </c>
      <c r="F179" s="21"/>
      <c r="G179" s="20" t="s">
        <v>64</v>
      </c>
      <c r="H179" s="20" t="s">
        <v>64</v>
      </c>
      <c r="I179" s="20" t="s">
        <v>64</v>
      </c>
      <c r="J179" s="31"/>
      <c r="K179" s="31" t="s">
        <v>64</v>
      </c>
      <c r="L179" s="21" t="s">
        <v>64</v>
      </c>
      <c r="M179" s="20"/>
      <c r="N179" s="20" t="s">
        <v>64</v>
      </c>
      <c r="O179" s="20"/>
      <c r="P179" s="20"/>
      <c r="Q179" s="20"/>
      <c r="R179" s="20"/>
      <c r="S179" s="20"/>
      <c r="T179" s="20"/>
      <c r="U179" s="20"/>
      <c r="V179" s="20"/>
      <c r="W179" s="20"/>
      <c r="X179" s="20"/>
      <c r="Y179" s="20"/>
    </row>
    <row r="180" spans="2:25" ht="13" x14ac:dyDescent="0.2">
      <c r="B180" s="20" t="s">
        <v>64</v>
      </c>
      <c r="C180" s="20" t="s">
        <v>64</v>
      </c>
      <c r="D180" s="20" t="s">
        <v>64</v>
      </c>
      <c r="E180" s="20" t="s">
        <v>64</v>
      </c>
      <c r="F180" s="21"/>
      <c r="G180" s="20" t="s">
        <v>64</v>
      </c>
      <c r="H180" s="20" t="s">
        <v>64</v>
      </c>
      <c r="I180" s="20" t="s">
        <v>64</v>
      </c>
      <c r="J180" s="31"/>
      <c r="K180" s="31" t="s">
        <v>64</v>
      </c>
      <c r="L180" s="21" t="s">
        <v>64</v>
      </c>
      <c r="M180" s="20"/>
      <c r="N180" s="20" t="s">
        <v>64</v>
      </c>
      <c r="O180" s="20"/>
      <c r="P180" s="20"/>
      <c r="Q180" s="20"/>
      <c r="R180" s="20"/>
      <c r="S180" s="20"/>
      <c r="T180" s="20"/>
      <c r="U180" s="20"/>
      <c r="V180" s="20"/>
      <c r="W180" s="20"/>
      <c r="X180" s="20"/>
      <c r="Y180" s="20"/>
    </row>
    <row r="181" spans="2:25" ht="13" x14ac:dyDescent="0.2">
      <c r="B181" s="20" t="s">
        <v>64</v>
      </c>
      <c r="C181" s="20" t="s">
        <v>64</v>
      </c>
      <c r="D181" s="20" t="s">
        <v>64</v>
      </c>
      <c r="E181" s="20" t="s">
        <v>64</v>
      </c>
      <c r="F181" s="21"/>
      <c r="G181" s="20" t="s">
        <v>64</v>
      </c>
      <c r="H181" s="20" t="s">
        <v>64</v>
      </c>
      <c r="I181" s="20" t="s">
        <v>64</v>
      </c>
      <c r="J181" s="31"/>
      <c r="K181" s="31" t="s">
        <v>64</v>
      </c>
      <c r="L181" s="21" t="s">
        <v>64</v>
      </c>
      <c r="M181" s="20"/>
      <c r="N181" s="20" t="s">
        <v>64</v>
      </c>
      <c r="O181" s="20"/>
      <c r="P181" s="20"/>
      <c r="Q181" s="20"/>
      <c r="R181" s="20"/>
      <c r="S181" s="20"/>
      <c r="T181" s="20"/>
      <c r="U181" s="20"/>
      <c r="V181" s="20"/>
      <c r="W181" s="20"/>
      <c r="X181" s="20"/>
      <c r="Y181" s="20"/>
    </row>
    <row r="182" spans="2:25" ht="13" x14ac:dyDescent="0.2">
      <c r="B182" s="20" t="s">
        <v>64</v>
      </c>
      <c r="C182" s="20" t="s">
        <v>64</v>
      </c>
      <c r="D182" s="20" t="s">
        <v>64</v>
      </c>
      <c r="E182" s="20" t="s">
        <v>64</v>
      </c>
      <c r="F182" s="21"/>
      <c r="G182" s="20" t="s">
        <v>64</v>
      </c>
      <c r="H182" s="20" t="s">
        <v>64</v>
      </c>
      <c r="I182" s="20" t="s">
        <v>64</v>
      </c>
      <c r="J182" s="31"/>
      <c r="K182" s="31" t="s">
        <v>64</v>
      </c>
      <c r="L182" s="21" t="s">
        <v>64</v>
      </c>
      <c r="M182" s="20"/>
      <c r="N182" s="20" t="s">
        <v>64</v>
      </c>
      <c r="O182" s="20"/>
      <c r="P182" s="20"/>
      <c r="Q182" s="20"/>
      <c r="R182" s="20"/>
      <c r="S182" s="20"/>
      <c r="T182" s="20"/>
      <c r="U182" s="20"/>
      <c r="V182" s="20"/>
      <c r="W182" s="20"/>
      <c r="X182" s="20"/>
      <c r="Y182" s="20"/>
    </row>
    <row r="183" spans="2:25" ht="13" x14ac:dyDescent="0.2">
      <c r="B183" s="20" t="s">
        <v>64</v>
      </c>
      <c r="C183" s="20" t="s">
        <v>64</v>
      </c>
      <c r="D183" s="20" t="s">
        <v>64</v>
      </c>
      <c r="E183" s="20" t="s">
        <v>64</v>
      </c>
      <c r="F183" s="21"/>
      <c r="G183" s="20" t="s">
        <v>64</v>
      </c>
      <c r="H183" s="20" t="s">
        <v>64</v>
      </c>
      <c r="I183" s="20" t="s">
        <v>64</v>
      </c>
      <c r="J183" s="31"/>
      <c r="K183" s="31" t="s">
        <v>64</v>
      </c>
      <c r="L183" s="21" t="s">
        <v>64</v>
      </c>
      <c r="M183" s="20"/>
      <c r="N183" s="20" t="s">
        <v>64</v>
      </c>
      <c r="O183" s="20"/>
      <c r="P183" s="20"/>
      <c r="Q183" s="20"/>
      <c r="R183" s="20"/>
      <c r="S183" s="20"/>
      <c r="T183" s="20"/>
      <c r="U183" s="20"/>
      <c r="V183" s="20"/>
      <c r="W183" s="20"/>
      <c r="X183" s="20"/>
      <c r="Y183" s="20"/>
    </row>
    <row r="184" spans="2:25" ht="13" x14ac:dyDescent="0.2">
      <c r="B184" s="20" t="s">
        <v>64</v>
      </c>
      <c r="C184" s="20" t="s">
        <v>64</v>
      </c>
      <c r="D184" s="20" t="s">
        <v>64</v>
      </c>
      <c r="E184" s="20" t="s">
        <v>64</v>
      </c>
      <c r="F184" s="21"/>
      <c r="G184" s="20" t="s">
        <v>64</v>
      </c>
      <c r="H184" s="20" t="s">
        <v>64</v>
      </c>
      <c r="I184" s="20" t="s">
        <v>64</v>
      </c>
      <c r="J184" s="31"/>
      <c r="K184" s="31" t="s">
        <v>64</v>
      </c>
      <c r="L184" s="21" t="s">
        <v>64</v>
      </c>
      <c r="M184" s="20"/>
      <c r="N184" s="20" t="s">
        <v>64</v>
      </c>
      <c r="O184" s="20"/>
      <c r="P184" s="20"/>
      <c r="Q184" s="20"/>
      <c r="R184" s="20"/>
      <c r="S184" s="20"/>
      <c r="T184" s="20"/>
      <c r="U184" s="20"/>
      <c r="V184" s="20"/>
      <c r="W184" s="20"/>
      <c r="X184" s="20"/>
      <c r="Y184" s="20"/>
    </row>
    <row r="185" spans="2:25" ht="13" x14ac:dyDescent="0.2">
      <c r="B185" s="20" t="s">
        <v>64</v>
      </c>
      <c r="C185" s="20" t="s">
        <v>64</v>
      </c>
      <c r="D185" s="20" t="s">
        <v>64</v>
      </c>
      <c r="E185" s="20" t="s">
        <v>64</v>
      </c>
      <c r="F185" s="21"/>
      <c r="G185" s="20" t="s">
        <v>64</v>
      </c>
      <c r="H185" s="20" t="s">
        <v>64</v>
      </c>
      <c r="I185" s="20" t="s">
        <v>64</v>
      </c>
      <c r="J185" s="31"/>
      <c r="K185" s="31" t="s">
        <v>64</v>
      </c>
      <c r="L185" s="21" t="s">
        <v>64</v>
      </c>
      <c r="M185" s="20"/>
      <c r="N185" s="20" t="s">
        <v>64</v>
      </c>
      <c r="O185" s="20"/>
      <c r="P185" s="20"/>
      <c r="Q185" s="20"/>
      <c r="R185" s="20"/>
      <c r="S185" s="20"/>
      <c r="T185" s="20"/>
      <c r="U185" s="20"/>
      <c r="V185" s="20"/>
      <c r="W185" s="20"/>
      <c r="X185" s="20"/>
      <c r="Y185" s="20"/>
    </row>
    <row r="186" spans="2:25" ht="13" x14ac:dyDescent="0.2">
      <c r="B186" s="20" t="s">
        <v>64</v>
      </c>
      <c r="C186" s="20" t="s">
        <v>64</v>
      </c>
      <c r="D186" s="20" t="s">
        <v>64</v>
      </c>
      <c r="E186" s="20" t="s">
        <v>64</v>
      </c>
      <c r="F186" s="21"/>
      <c r="G186" s="20" t="s">
        <v>64</v>
      </c>
      <c r="H186" s="20" t="s">
        <v>64</v>
      </c>
      <c r="I186" s="20" t="s">
        <v>64</v>
      </c>
      <c r="J186" s="31"/>
      <c r="K186" s="31" t="s">
        <v>64</v>
      </c>
      <c r="L186" s="21" t="s">
        <v>64</v>
      </c>
      <c r="M186" s="20"/>
      <c r="N186" s="20" t="s">
        <v>64</v>
      </c>
      <c r="O186" s="20"/>
      <c r="P186" s="20"/>
      <c r="Q186" s="20"/>
      <c r="R186" s="20"/>
      <c r="S186" s="20"/>
      <c r="T186" s="20"/>
      <c r="U186" s="20"/>
      <c r="V186" s="20"/>
      <c r="W186" s="20"/>
      <c r="X186" s="20"/>
      <c r="Y186" s="20"/>
    </row>
    <row r="187" spans="2:25" ht="13" x14ac:dyDescent="0.2">
      <c r="B187" s="20" t="s">
        <v>64</v>
      </c>
      <c r="C187" s="20" t="s">
        <v>64</v>
      </c>
      <c r="D187" s="20" t="s">
        <v>64</v>
      </c>
      <c r="E187" s="20" t="s">
        <v>64</v>
      </c>
      <c r="F187" s="21"/>
      <c r="G187" s="20" t="s">
        <v>64</v>
      </c>
      <c r="H187" s="20" t="s">
        <v>64</v>
      </c>
      <c r="I187" s="20" t="s">
        <v>64</v>
      </c>
      <c r="J187" s="31"/>
      <c r="K187" s="31" t="s">
        <v>64</v>
      </c>
      <c r="L187" s="21" t="s">
        <v>64</v>
      </c>
      <c r="M187" s="20"/>
      <c r="N187" s="20" t="s">
        <v>64</v>
      </c>
      <c r="O187" s="20"/>
      <c r="P187" s="20"/>
      <c r="Q187" s="20"/>
      <c r="R187" s="20"/>
      <c r="S187" s="20"/>
      <c r="T187" s="20"/>
      <c r="U187" s="20"/>
      <c r="V187" s="20"/>
      <c r="W187" s="20"/>
      <c r="X187" s="20"/>
      <c r="Y187" s="20"/>
    </row>
    <row r="188" spans="2:25" ht="13" x14ac:dyDescent="0.2">
      <c r="B188" s="20" t="s">
        <v>64</v>
      </c>
      <c r="C188" s="20" t="s">
        <v>64</v>
      </c>
      <c r="D188" s="20" t="s">
        <v>64</v>
      </c>
      <c r="E188" s="20" t="s">
        <v>64</v>
      </c>
      <c r="F188" s="21"/>
      <c r="G188" s="20" t="s">
        <v>64</v>
      </c>
      <c r="H188" s="20" t="s">
        <v>64</v>
      </c>
      <c r="I188" s="20" t="s">
        <v>64</v>
      </c>
      <c r="J188" s="31"/>
      <c r="K188" s="31" t="s">
        <v>64</v>
      </c>
      <c r="L188" s="21" t="s">
        <v>64</v>
      </c>
      <c r="M188" s="20"/>
      <c r="N188" s="20" t="s">
        <v>64</v>
      </c>
      <c r="O188" s="20"/>
      <c r="P188" s="20"/>
      <c r="Q188" s="20"/>
      <c r="R188" s="20"/>
      <c r="S188" s="20"/>
      <c r="T188" s="20"/>
      <c r="U188" s="20"/>
      <c r="V188" s="20"/>
      <c r="W188" s="20"/>
      <c r="X188" s="20"/>
      <c r="Y188" s="20"/>
    </row>
    <row r="189" spans="2:25" ht="13" x14ac:dyDescent="0.2">
      <c r="B189" s="20" t="s">
        <v>64</v>
      </c>
      <c r="C189" s="20" t="s">
        <v>64</v>
      </c>
      <c r="D189" s="20" t="s">
        <v>64</v>
      </c>
      <c r="E189" s="20" t="s">
        <v>64</v>
      </c>
      <c r="F189" s="21"/>
      <c r="G189" s="20" t="s">
        <v>64</v>
      </c>
      <c r="H189" s="20" t="s">
        <v>64</v>
      </c>
      <c r="I189" s="20" t="s">
        <v>64</v>
      </c>
      <c r="J189" s="31"/>
      <c r="K189" s="31" t="s">
        <v>64</v>
      </c>
      <c r="L189" s="21" t="s">
        <v>64</v>
      </c>
      <c r="M189" s="20"/>
      <c r="N189" s="20" t="s">
        <v>64</v>
      </c>
      <c r="O189" s="20"/>
      <c r="P189" s="20"/>
      <c r="Q189" s="20"/>
      <c r="R189" s="20"/>
      <c r="S189" s="20"/>
      <c r="T189" s="20"/>
      <c r="U189" s="20"/>
      <c r="V189" s="20"/>
      <c r="W189" s="20"/>
      <c r="X189" s="20"/>
      <c r="Y189" s="20"/>
    </row>
    <row r="190" spans="2:25" ht="13" x14ac:dyDescent="0.2">
      <c r="B190" s="20" t="s">
        <v>64</v>
      </c>
      <c r="C190" s="20" t="s">
        <v>64</v>
      </c>
      <c r="D190" s="20" t="s">
        <v>64</v>
      </c>
      <c r="E190" s="20" t="s">
        <v>64</v>
      </c>
      <c r="F190" s="21"/>
      <c r="G190" s="20" t="s">
        <v>64</v>
      </c>
      <c r="H190" s="20" t="s">
        <v>64</v>
      </c>
      <c r="I190" s="20" t="s">
        <v>64</v>
      </c>
      <c r="J190" s="31"/>
      <c r="K190" s="31" t="s">
        <v>64</v>
      </c>
      <c r="L190" s="21" t="s">
        <v>64</v>
      </c>
      <c r="M190" s="20"/>
      <c r="N190" s="20" t="s">
        <v>64</v>
      </c>
      <c r="O190" s="20"/>
      <c r="P190" s="20"/>
      <c r="Q190" s="20"/>
      <c r="R190" s="20"/>
      <c r="S190" s="20"/>
      <c r="T190" s="20"/>
      <c r="U190" s="20"/>
      <c r="V190" s="20"/>
      <c r="W190" s="20"/>
      <c r="X190" s="20"/>
      <c r="Y190" s="20"/>
    </row>
    <row r="191" spans="2:25" ht="13" x14ac:dyDescent="0.2">
      <c r="B191" s="20" t="s">
        <v>64</v>
      </c>
      <c r="C191" s="20" t="s">
        <v>64</v>
      </c>
      <c r="D191" s="20" t="s">
        <v>64</v>
      </c>
      <c r="E191" s="20" t="s">
        <v>64</v>
      </c>
      <c r="F191" s="21"/>
      <c r="G191" s="20" t="s">
        <v>64</v>
      </c>
      <c r="H191" s="20" t="s">
        <v>64</v>
      </c>
      <c r="I191" s="20" t="s">
        <v>64</v>
      </c>
      <c r="J191" s="31"/>
      <c r="K191" s="31" t="s">
        <v>64</v>
      </c>
      <c r="L191" s="21" t="s">
        <v>64</v>
      </c>
      <c r="M191" s="20"/>
      <c r="N191" s="20" t="s">
        <v>64</v>
      </c>
      <c r="O191" s="20"/>
      <c r="P191" s="20"/>
      <c r="Q191" s="20"/>
      <c r="R191" s="20"/>
      <c r="S191" s="20"/>
      <c r="T191" s="20"/>
      <c r="U191" s="20"/>
      <c r="V191" s="20"/>
      <c r="W191" s="20"/>
      <c r="X191" s="20"/>
      <c r="Y191" s="20"/>
    </row>
    <row r="192" spans="2:25" ht="13" x14ac:dyDescent="0.2">
      <c r="B192" s="20" t="s">
        <v>64</v>
      </c>
      <c r="C192" s="20" t="s">
        <v>64</v>
      </c>
      <c r="D192" s="20" t="s">
        <v>64</v>
      </c>
      <c r="E192" s="20" t="s">
        <v>64</v>
      </c>
      <c r="F192" s="21"/>
      <c r="G192" s="20" t="s">
        <v>64</v>
      </c>
      <c r="H192" s="20" t="s">
        <v>64</v>
      </c>
      <c r="I192" s="20" t="s">
        <v>64</v>
      </c>
      <c r="J192" s="31"/>
      <c r="K192" s="31" t="s">
        <v>64</v>
      </c>
      <c r="L192" s="21" t="s">
        <v>64</v>
      </c>
      <c r="M192" s="20"/>
      <c r="N192" s="20" t="s">
        <v>64</v>
      </c>
      <c r="O192" s="20"/>
      <c r="P192" s="20"/>
      <c r="Q192" s="20"/>
      <c r="R192" s="20"/>
      <c r="S192" s="20"/>
      <c r="T192" s="20"/>
      <c r="U192" s="20"/>
      <c r="V192" s="20"/>
      <c r="W192" s="20"/>
      <c r="X192" s="20"/>
      <c r="Y192" s="20"/>
    </row>
    <row r="193" spans="2:25" ht="13" x14ac:dyDescent="0.2">
      <c r="B193" s="20" t="s">
        <v>64</v>
      </c>
      <c r="C193" s="20" t="s">
        <v>64</v>
      </c>
      <c r="D193" s="20" t="s">
        <v>64</v>
      </c>
      <c r="E193" s="20" t="s">
        <v>64</v>
      </c>
      <c r="F193" s="21"/>
      <c r="G193" s="20" t="s">
        <v>64</v>
      </c>
      <c r="H193" s="20" t="s">
        <v>64</v>
      </c>
      <c r="I193" s="20" t="s">
        <v>64</v>
      </c>
      <c r="J193" s="31"/>
      <c r="K193" s="31" t="s">
        <v>64</v>
      </c>
      <c r="L193" s="21" t="s">
        <v>64</v>
      </c>
      <c r="M193" s="20"/>
      <c r="N193" s="20" t="s">
        <v>64</v>
      </c>
      <c r="O193" s="20"/>
      <c r="P193" s="20"/>
      <c r="Q193" s="20"/>
      <c r="R193" s="20"/>
      <c r="S193" s="20"/>
      <c r="T193" s="20"/>
      <c r="U193" s="20"/>
      <c r="V193" s="20"/>
      <c r="W193" s="20"/>
      <c r="X193" s="20"/>
      <c r="Y193" s="20"/>
    </row>
    <row r="194" spans="2:25" ht="13" x14ac:dyDescent="0.2">
      <c r="B194" s="20" t="s">
        <v>64</v>
      </c>
      <c r="C194" s="20" t="s">
        <v>64</v>
      </c>
      <c r="D194" s="20" t="s">
        <v>64</v>
      </c>
      <c r="E194" s="20" t="s">
        <v>64</v>
      </c>
      <c r="F194" s="21"/>
      <c r="G194" s="20" t="s">
        <v>64</v>
      </c>
      <c r="H194" s="20" t="s">
        <v>64</v>
      </c>
      <c r="I194" s="20" t="s">
        <v>64</v>
      </c>
      <c r="J194" s="31"/>
      <c r="K194" s="31" t="s">
        <v>64</v>
      </c>
      <c r="L194" s="21" t="s">
        <v>64</v>
      </c>
      <c r="M194" s="20"/>
      <c r="N194" s="20" t="s">
        <v>64</v>
      </c>
      <c r="O194" s="20"/>
      <c r="P194" s="20"/>
      <c r="Q194" s="20"/>
      <c r="R194" s="20"/>
      <c r="S194" s="20"/>
      <c r="T194" s="20"/>
      <c r="U194" s="20"/>
      <c r="V194" s="20"/>
      <c r="W194" s="20"/>
      <c r="X194" s="20"/>
      <c r="Y194" s="20"/>
    </row>
    <row r="195" spans="2:25" ht="13" x14ac:dyDescent="0.2">
      <c r="B195" s="20" t="s">
        <v>64</v>
      </c>
      <c r="C195" s="20" t="s">
        <v>64</v>
      </c>
      <c r="D195" s="20" t="s">
        <v>64</v>
      </c>
      <c r="E195" s="20" t="s">
        <v>64</v>
      </c>
      <c r="F195" s="21"/>
      <c r="G195" s="20" t="s">
        <v>64</v>
      </c>
      <c r="H195" s="20" t="s">
        <v>64</v>
      </c>
      <c r="I195" s="20" t="s">
        <v>64</v>
      </c>
      <c r="J195" s="31"/>
      <c r="K195" s="31" t="s">
        <v>64</v>
      </c>
      <c r="L195" s="21" t="s">
        <v>64</v>
      </c>
      <c r="M195" s="20"/>
      <c r="N195" s="20" t="s">
        <v>64</v>
      </c>
      <c r="O195" s="20"/>
      <c r="P195" s="20"/>
      <c r="Q195" s="20"/>
      <c r="R195" s="20"/>
      <c r="S195" s="20"/>
      <c r="T195" s="20"/>
      <c r="U195" s="20"/>
      <c r="V195" s="20"/>
      <c r="W195" s="20"/>
      <c r="X195" s="20"/>
      <c r="Y195" s="20"/>
    </row>
    <row r="196" spans="2:25" ht="13" x14ac:dyDescent="0.2">
      <c r="B196" s="20" t="s">
        <v>64</v>
      </c>
      <c r="C196" s="20" t="s">
        <v>64</v>
      </c>
      <c r="D196" s="20" t="s">
        <v>64</v>
      </c>
      <c r="E196" s="20" t="s">
        <v>64</v>
      </c>
      <c r="F196" s="21"/>
      <c r="G196" s="20" t="s">
        <v>64</v>
      </c>
      <c r="H196" s="20" t="s">
        <v>64</v>
      </c>
      <c r="I196" s="20" t="s">
        <v>64</v>
      </c>
      <c r="J196" s="31"/>
      <c r="K196" s="31" t="s">
        <v>64</v>
      </c>
      <c r="L196" s="21" t="s">
        <v>64</v>
      </c>
      <c r="M196" s="20"/>
      <c r="N196" s="20" t="s">
        <v>64</v>
      </c>
      <c r="O196" s="20"/>
      <c r="P196" s="20"/>
      <c r="Q196" s="20"/>
      <c r="R196" s="20"/>
      <c r="S196" s="20"/>
      <c r="T196" s="20"/>
      <c r="U196" s="20"/>
      <c r="V196" s="20"/>
      <c r="W196" s="20"/>
      <c r="X196" s="20"/>
      <c r="Y196" s="20"/>
    </row>
    <row r="197" spans="2:25" ht="13" x14ac:dyDescent="0.2">
      <c r="B197" s="20" t="s">
        <v>64</v>
      </c>
      <c r="C197" s="20" t="s">
        <v>64</v>
      </c>
      <c r="D197" s="20" t="s">
        <v>64</v>
      </c>
      <c r="E197" s="20" t="s">
        <v>64</v>
      </c>
      <c r="F197" s="21"/>
      <c r="G197" s="20" t="s">
        <v>64</v>
      </c>
      <c r="H197" s="20" t="s">
        <v>64</v>
      </c>
      <c r="I197" s="20" t="s">
        <v>64</v>
      </c>
      <c r="J197" s="31"/>
      <c r="K197" s="31" t="s">
        <v>64</v>
      </c>
      <c r="L197" s="21" t="s">
        <v>64</v>
      </c>
      <c r="M197" s="20"/>
      <c r="N197" s="20" t="s">
        <v>64</v>
      </c>
      <c r="O197" s="20"/>
      <c r="P197" s="20"/>
      <c r="Q197" s="20"/>
      <c r="R197" s="20"/>
      <c r="S197" s="20"/>
      <c r="T197" s="20"/>
      <c r="U197" s="20"/>
      <c r="V197" s="20"/>
      <c r="W197" s="20"/>
      <c r="X197" s="20"/>
      <c r="Y197" s="20"/>
    </row>
    <row r="198" spans="2:25" ht="13" x14ac:dyDescent="0.2">
      <c r="B198" s="20" t="s">
        <v>64</v>
      </c>
      <c r="C198" s="20" t="s">
        <v>64</v>
      </c>
      <c r="D198" s="20" t="s">
        <v>64</v>
      </c>
      <c r="E198" s="20" t="s">
        <v>64</v>
      </c>
      <c r="F198" s="21"/>
      <c r="G198" s="20" t="s">
        <v>64</v>
      </c>
      <c r="H198" s="20" t="s">
        <v>64</v>
      </c>
      <c r="I198" s="20" t="s">
        <v>64</v>
      </c>
      <c r="J198" s="31"/>
      <c r="K198" s="31" t="s">
        <v>64</v>
      </c>
      <c r="L198" s="21" t="s">
        <v>64</v>
      </c>
      <c r="M198" s="20"/>
      <c r="N198" s="20" t="s">
        <v>64</v>
      </c>
      <c r="O198" s="20"/>
      <c r="P198" s="20"/>
      <c r="Q198" s="20"/>
      <c r="R198" s="20"/>
      <c r="S198" s="20"/>
      <c r="T198" s="20"/>
      <c r="U198" s="20"/>
      <c r="V198" s="20"/>
      <c r="W198" s="20"/>
      <c r="X198" s="20"/>
      <c r="Y198" s="20"/>
    </row>
    <row r="199" spans="2:25" ht="13" x14ac:dyDescent="0.2">
      <c r="B199" s="20" t="s">
        <v>64</v>
      </c>
      <c r="C199" s="20" t="s">
        <v>64</v>
      </c>
      <c r="D199" s="20" t="s">
        <v>64</v>
      </c>
      <c r="E199" s="20" t="s">
        <v>64</v>
      </c>
      <c r="F199" s="21"/>
      <c r="G199" s="20" t="s">
        <v>64</v>
      </c>
      <c r="H199" s="20" t="s">
        <v>64</v>
      </c>
      <c r="I199" s="20" t="s">
        <v>64</v>
      </c>
      <c r="J199" s="31"/>
      <c r="K199" s="31" t="s">
        <v>64</v>
      </c>
      <c r="L199" s="21" t="s">
        <v>64</v>
      </c>
      <c r="M199" s="20"/>
      <c r="N199" s="20" t="s">
        <v>64</v>
      </c>
      <c r="O199" s="20"/>
      <c r="P199" s="20"/>
      <c r="Q199" s="20"/>
      <c r="R199" s="20"/>
      <c r="S199" s="20"/>
      <c r="T199" s="20"/>
      <c r="U199" s="20"/>
      <c r="V199" s="20"/>
      <c r="W199" s="20"/>
      <c r="X199" s="20"/>
      <c r="Y199" s="20"/>
    </row>
    <row r="200" spans="2:25" ht="13" x14ac:dyDescent="0.2">
      <c r="B200" s="20" t="s">
        <v>64</v>
      </c>
      <c r="C200" s="20" t="s">
        <v>64</v>
      </c>
      <c r="D200" s="20" t="s">
        <v>64</v>
      </c>
      <c r="E200" s="20" t="s">
        <v>64</v>
      </c>
      <c r="F200" s="21"/>
      <c r="G200" s="20" t="s">
        <v>64</v>
      </c>
      <c r="H200" s="20" t="s">
        <v>64</v>
      </c>
      <c r="I200" s="20" t="s">
        <v>64</v>
      </c>
      <c r="J200" s="31"/>
      <c r="K200" s="31" t="s">
        <v>64</v>
      </c>
      <c r="L200" s="21" t="s">
        <v>64</v>
      </c>
      <c r="M200" s="20"/>
      <c r="N200" s="20" t="s">
        <v>64</v>
      </c>
      <c r="O200" s="20"/>
      <c r="P200" s="20"/>
      <c r="Q200" s="20"/>
      <c r="R200" s="20"/>
      <c r="S200" s="20"/>
      <c r="T200" s="20"/>
      <c r="U200" s="20"/>
      <c r="V200" s="20"/>
      <c r="W200" s="20"/>
      <c r="X200" s="20"/>
      <c r="Y200" s="20"/>
    </row>
    <row r="201" spans="2:25" ht="13" x14ac:dyDescent="0.2">
      <c r="B201" s="20" t="s">
        <v>64</v>
      </c>
      <c r="C201" s="20" t="s">
        <v>64</v>
      </c>
      <c r="D201" s="20" t="s">
        <v>64</v>
      </c>
      <c r="E201" s="20" t="s">
        <v>64</v>
      </c>
      <c r="F201" s="21"/>
      <c r="G201" s="20" t="s">
        <v>64</v>
      </c>
      <c r="H201" s="20" t="s">
        <v>64</v>
      </c>
      <c r="I201" s="20" t="s">
        <v>64</v>
      </c>
      <c r="J201" s="31"/>
      <c r="K201" s="31" t="s">
        <v>64</v>
      </c>
      <c r="L201" s="21" t="s">
        <v>64</v>
      </c>
      <c r="M201" s="20"/>
      <c r="N201" s="20" t="s">
        <v>64</v>
      </c>
      <c r="O201" s="20"/>
      <c r="P201" s="20"/>
      <c r="Q201" s="20"/>
      <c r="R201" s="20"/>
      <c r="S201" s="20"/>
      <c r="T201" s="20"/>
      <c r="U201" s="20"/>
      <c r="V201" s="20"/>
      <c r="W201" s="20"/>
      <c r="X201" s="20"/>
      <c r="Y201" s="20"/>
    </row>
    <row r="202" spans="2:25" ht="13" x14ac:dyDescent="0.2">
      <c r="B202" s="20" t="s">
        <v>64</v>
      </c>
      <c r="C202" s="20" t="s">
        <v>64</v>
      </c>
      <c r="D202" s="20" t="s">
        <v>64</v>
      </c>
      <c r="E202" s="20" t="s">
        <v>64</v>
      </c>
      <c r="F202" s="21"/>
      <c r="G202" s="20" t="s">
        <v>64</v>
      </c>
      <c r="H202" s="20" t="s">
        <v>64</v>
      </c>
      <c r="I202" s="20" t="s">
        <v>64</v>
      </c>
      <c r="J202" s="31"/>
      <c r="K202" s="31" t="s">
        <v>64</v>
      </c>
      <c r="L202" s="21" t="s">
        <v>64</v>
      </c>
      <c r="M202" s="20"/>
      <c r="N202" s="20" t="s">
        <v>64</v>
      </c>
      <c r="O202" s="20"/>
      <c r="P202" s="20"/>
      <c r="Q202" s="20"/>
      <c r="R202" s="20"/>
      <c r="S202" s="20"/>
      <c r="T202" s="20"/>
      <c r="U202" s="20"/>
      <c r="V202" s="20"/>
      <c r="W202" s="20"/>
      <c r="X202" s="20"/>
      <c r="Y202" s="20"/>
    </row>
    <row r="203" spans="2:25" ht="13" x14ac:dyDescent="0.2">
      <c r="B203" s="20" t="s">
        <v>64</v>
      </c>
      <c r="C203" s="20" t="s">
        <v>64</v>
      </c>
      <c r="D203" s="20" t="s">
        <v>64</v>
      </c>
      <c r="E203" s="20" t="s">
        <v>64</v>
      </c>
      <c r="F203" s="21"/>
      <c r="G203" s="20" t="s">
        <v>64</v>
      </c>
      <c r="H203" s="20" t="s">
        <v>64</v>
      </c>
      <c r="I203" s="20" t="s">
        <v>64</v>
      </c>
      <c r="J203" s="31"/>
      <c r="K203" s="31" t="s">
        <v>64</v>
      </c>
      <c r="L203" s="21" t="s">
        <v>64</v>
      </c>
      <c r="M203" s="20"/>
      <c r="N203" s="20" t="s">
        <v>64</v>
      </c>
      <c r="O203" s="20"/>
      <c r="P203" s="20"/>
      <c r="Q203" s="20"/>
      <c r="R203" s="20"/>
      <c r="S203" s="20"/>
      <c r="T203" s="20"/>
      <c r="U203" s="20"/>
      <c r="V203" s="20"/>
      <c r="W203" s="20"/>
      <c r="X203" s="20"/>
      <c r="Y203" s="20"/>
    </row>
    <row r="204" spans="2:25" ht="13" x14ac:dyDescent="0.2">
      <c r="B204" s="20" t="s">
        <v>64</v>
      </c>
      <c r="C204" s="20" t="s">
        <v>64</v>
      </c>
      <c r="D204" s="20" t="s">
        <v>64</v>
      </c>
      <c r="E204" s="20" t="s">
        <v>64</v>
      </c>
      <c r="F204" s="21"/>
      <c r="G204" s="20" t="s">
        <v>64</v>
      </c>
      <c r="H204" s="20" t="s">
        <v>64</v>
      </c>
      <c r="I204" s="20" t="s">
        <v>64</v>
      </c>
      <c r="J204" s="31"/>
      <c r="K204" s="31" t="s">
        <v>64</v>
      </c>
      <c r="L204" s="21" t="s">
        <v>64</v>
      </c>
      <c r="M204" s="20"/>
      <c r="N204" s="20" t="s">
        <v>64</v>
      </c>
      <c r="O204" s="20"/>
      <c r="P204" s="20"/>
      <c r="Q204" s="20"/>
      <c r="R204" s="20"/>
      <c r="S204" s="20"/>
      <c r="T204" s="20"/>
      <c r="U204" s="20"/>
      <c r="V204" s="20"/>
      <c r="W204" s="20"/>
      <c r="X204" s="20"/>
      <c r="Y204" s="20"/>
    </row>
    <row r="205" spans="2:25" ht="13" x14ac:dyDescent="0.2">
      <c r="B205" s="20" t="s">
        <v>64</v>
      </c>
      <c r="C205" s="20" t="s">
        <v>64</v>
      </c>
      <c r="D205" s="20" t="s">
        <v>64</v>
      </c>
      <c r="E205" s="20" t="s">
        <v>64</v>
      </c>
      <c r="F205" s="21"/>
      <c r="G205" s="20" t="s">
        <v>64</v>
      </c>
      <c r="H205" s="20" t="s">
        <v>64</v>
      </c>
      <c r="I205" s="20" t="s">
        <v>64</v>
      </c>
      <c r="J205" s="31"/>
      <c r="K205" s="31" t="s">
        <v>64</v>
      </c>
      <c r="L205" s="21" t="s">
        <v>64</v>
      </c>
      <c r="M205" s="20"/>
      <c r="N205" s="20" t="s">
        <v>64</v>
      </c>
      <c r="O205" s="20"/>
      <c r="P205" s="20"/>
      <c r="Q205" s="20"/>
      <c r="R205" s="20"/>
      <c r="S205" s="20"/>
      <c r="T205" s="20"/>
      <c r="U205" s="20"/>
      <c r="V205" s="20"/>
      <c r="W205" s="20"/>
      <c r="X205" s="20"/>
      <c r="Y205" s="20"/>
    </row>
    <row r="206" spans="2:25" ht="13" x14ac:dyDescent="0.2">
      <c r="B206" s="20" t="s">
        <v>64</v>
      </c>
      <c r="C206" s="20" t="s">
        <v>64</v>
      </c>
      <c r="D206" s="20" t="s">
        <v>64</v>
      </c>
      <c r="E206" s="20" t="s">
        <v>64</v>
      </c>
      <c r="F206" s="21"/>
      <c r="G206" s="20" t="s">
        <v>64</v>
      </c>
      <c r="H206" s="20" t="s">
        <v>64</v>
      </c>
      <c r="I206" s="20" t="s">
        <v>64</v>
      </c>
      <c r="J206" s="31"/>
      <c r="K206" s="31" t="s">
        <v>64</v>
      </c>
      <c r="L206" s="21" t="s">
        <v>64</v>
      </c>
      <c r="M206" s="20"/>
      <c r="N206" s="20" t="s">
        <v>64</v>
      </c>
      <c r="O206" s="20"/>
      <c r="P206" s="20"/>
      <c r="Q206" s="20"/>
      <c r="R206" s="20"/>
      <c r="S206" s="20"/>
      <c r="T206" s="20"/>
      <c r="U206" s="20"/>
      <c r="V206" s="20"/>
      <c r="W206" s="20"/>
      <c r="X206" s="20"/>
      <c r="Y206" s="20"/>
    </row>
    <row r="207" spans="2:25" ht="13" x14ac:dyDescent="0.2">
      <c r="B207" s="20" t="s">
        <v>64</v>
      </c>
      <c r="C207" s="20" t="s">
        <v>64</v>
      </c>
      <c r="D207" s="20" t="s">
        <v>64</v>
      </c>
      <c r="E207" s="20" t="s">
        <v>64</v>
      </c>
      <c r="F207" s="21"/>
      <c r="G207" s="20" t="s">
        <v>64</v>
      </c>
      <c r="H207" s="20" t="s">
        <v>64</v>
      </c>
      <c r="I207" s="20" t="s">
        <v>64</v>
      </c>
      <c r="J207" s="31"/>
      <c r="K207" s="31" t="s">
        <v>64</v>
      </c>
      <c r="L207" s="21" t="s">
        <v>64</v>
      </c>
      <c r="M207" s="20"/>
      <c r="N207" s="20" t="s">
        <v>64</v>
      </c>
      <c r="O207" s="20"/>
      <c r="P207" s="20"/>
      <c r="Q207" s="20"/>
      <c r="R207" s="20"/>
      <c r="S207" s="20"/>
      <c r="T207" s="20"/>
      <c r="U207" s="20"/>
      <c r="V207" s="20"/>
      <c r="W207" s="20"/>
      <c r="X207" s="20"/>
      <c r="Y207" s="20"/>
    </row>
    <row r="208" spans="2:25" ht="13" x14ac:dyDescent="0.2">
      <c r="B208" s="20" t="s">
        <v>64</v>
      </c>
      <c r="C208" s="20" t="s">
        <v>64</v>
      </c>
      <c r="D208" s="20" t="s">
        <v>64</v>
      </c>
      <c r="E208" s="20" t="s">
        <v>64</v>
      </c>
      <c r="F208" s="21"/>
      <c r="G208" s="20" t="s">
        <v>64</v>
      </c>
      <c r="H208" s="20" t="s">
        <v>64</v>
      </c>
      <c r="I208" s="20" t="s">
        <v>64</v>
      </c>
      <c r="J208" s="31"/>
      <c r="K208" s="31" t="s">
        <v>64</v>
      </c>
      <c r="L208" s="21" t="s">
        <v>64</v>
      </c>
      <c r="M208" s="20"/>
      <c r="N208" s="20" t="s">
        <v>64</v>
      </c>
      <c r="O208" s="20"/>
      <c r="P208" s="20"/>
      <c r="Q208" s="20"/>
      <c r="R208" s="20"/>
      <c r="S208" s="20"/>
      <c r="T208" s="20"/>
      <c r="U208" s="20"/>
      <c r="V208" s="20"/>
      <c r="W208" s="20"/>
      <c r="X208" s="20"/>
      <c r="Y208" s="20"/>
    </row>
    <row r="209" spans="2:25" ht="13" x14ac:dyDescent="0.2">
      <c r="B209" s="20" t="s">
        <v>64</v>
      </c>
      <c r="C209" s="20" t="s">
        <v>64</v>
      </c>
      <c r="D209" s="20" t="s">
        <v>64</v>
      </c>
      <c r="E209" s="20" t="s">
        <v>64</v>
      </c>
      <c r="F209" s="21"/>
      <c r="G209" s="20" t="s">
        <v>64</v>
      </c>
      <c r="H209" s="20" t="s">
        <v>64</v>
      </c>
      <c r="I209" s="20" t="s">
        <v>64</v>
      </c>
      <c r="J209" s="31"/>
      <c r="K209" s="31" t="s">
        <v>64</v>
      </c>
      <c r="L209" s="21" t="s">
        <v>64</v>
      </c>
      <c r="M209" s="20"/>
      <c r="N209" s="20" t="s">
        <v>64</v>
      </c>
      <c r="O209" s="20"/>
      <c r="P209" s="20"/>
      <c r="Q209" s="20"/>
      <c r="R209" s="20"/>
      <c r="S209" s="20"/>
      <c r="T209" s="20"/>
      <c r="U209" s="20"/>
      <c r="V209" s="20"/>
      <c r="W209" s="20"/>
      <c r="X209" s="20"/>
      <c r="Y209" s="20"/>
    </row>
    <row r="210" spans="2:25" ht="13" x14ac:dyDescent="0.2">
      <c r="B210" s="20" t="s">
        <v>64</v>
      </c>
      <c r="C210" s="20" t="s">
        <v>64</v>
      </c>
      <c r="D210" s="20" t="s">
        <v>64</v>
      </c>
      <c r="E210" s="20" t="s">
        <v>64</v>
      </c>
      <c r="F210" s="21"/>
      <c r="G210" s="20" t="s">
        <v>64</v>
      </c>
      <c r="H210" s="20" t="s">
        <v>64</v>
      </c>
      <c r="I210" s="20" t="s">
        <v>64</v>
      </c>
      <c r="J210" s="31"/>
      <c r="K210" s="31" t="s">
        <v>64</v>
      </c>
      <c r="L210" s="21" t="s">
        <v>64</v>
      </c>
      <c r="M210" s="20"/>
      <c r="N210" s="20" t="s">
        <v>64</v>
      </c>
      <c r="O210" s="20"/>
      <c r="P210" s="20"/>
      <c r="Q210" s="20"/>
      <c r="R210" s="20"/>
      <c r="S210" s="20"/>
      <c r="T210" s="20"/>
      <c r="U210" s="20"/>
      <c r="V210" s="20"/>
      <c r="W210" s="20"/>
      <c r="X210" s="20"/>
      <c r="Y210" s="20"/>
    </row>
    <row r="211" spans="2:25" ht="13" x14ac:dyDescent="0.2">
      <c r="B211" s="20" t="s">
        <v>64</v>
      </c>
      <c r="C211" s="20" t="s">
        <v>64</v>
      </c>
      <c r="D211" s="20" t="s">
        <v>64</v>
      </c>
      <c r="E211" s="20" t="s">
        <v>64</v>
      </c>
      <c r="F211" s="21"/>
      <c r="G211" s="20" t="s">
        <v>64</v>
      </c>
      <c r="H211" s="20" t="s">
        <v>64</v>
      </c>
      <c r="I211" s="20" t="s">
        <v>64</v>
      </c>
      <c r="J211" s="31"/>
      <c r="K211" s="31" t="s">
        <v>64</v>
      </c>
      <c r="L211" s="21" t="s">
        <v>64</v>
      </c>
      <c r="M211" s="20"/>
      <c r="N211" s="20" t="s">
        <v>64</v>
      </c>
      <c r="O211" s="20"/>
      <c r="P211" s="20"/>
      <c r="Q211" s="20"/>
      <c r="R211" s="20"/>
      <c r="S211" s="20"/>
      <c r="T211" s="20"/>
      <c r="U211" s="20"/>
      <c r="V211" s="20"/>
      <c r="W211" s="20"/>
      <c r="X211" s="20"/>
      <c r="Y211" s="20"/>
    </row>
    <row r="212" spans="2:25" ht="13" x14ac:dyDescent="0.2">
      <c r="B212" s="20" t="s">
        <v>64</v>
      </c>
      <c r="C212" s="20" t="s">
        <v>64</v>
      </c>
      <c r="D212" s="20" t="s">
        <v>64</v>
      </c>
      <c r="E212" s="20" t="s">
        <v>64</v>
      </c>
      <c r="F212" s="21"/>
      <c r="G212" s="20" t="s">
        <v>64</v>
      </c>
      <c r="H212" s="20" t="s">
        <v>64</v>
      </c>
      <c r="I212" s="20" t="s">
        <v>64</v>
      </c>
      <c r="J212" s="31"/>
      <c r="K212" s="31" t="s">
        <v>64</v>
      </c>
      <c r="L212" s="21" t="s">
        <v>64</v>
      </c>
      <c r="M212" s="20"/>
      <c r="N212" s="20" t="s">
        <v>64</v>
      </c>
      <c r="O212" s="20"/>
      <c r="P212" s="20"/>
      <c r="Q212" s="20"/>
      <c r="R212" s="20"/>
      <c r="S212" s="20"/>
      <c r="T212" s="20"/>
      <c r="U212" s="20"/>
      <c r="V212" s="20"/>
      <c r="W212" s="20"/>
      <c r="X212" s="20"/>
      <c r="Y212" s="20"/>
    </row>
    <row r="213" spans="2:25" ht="13" x14ac:dyDescent="0.2">
      <c r="B213" s="20" t="s">
        <v>64</v>
      </c>
      <c r="C213" s="20" t="s">
        <v>64</v>
      </c>
      <c r="D213" s="20" t="s">
        <v>64</v>
      </c>
      <c r="E213" s="20" t="s">
        <v>64</v>
      </c>
      <c r="F213" s="21"/>
      <c r="G213" s="20" t="s">
        <v>64</v>
      </c>
      <c r="H213" s="20" t="s">
        <v>64</v>
      </c>
      <c r="I213" s="20" t="s">
        <v>64</v>
      </c>
      <c r="J213" s="31"/>
      <c r="K213" s="31" t="s">
        <v>64</v>
      </c>
      <c r="L213" s="21" t="s">
        <v>64</v>
      </c>
      <c r="M213" s="20"/>
      <c r="N213" s="20" t="s">
        <v>64</v>
      </c>
      <c r="O213" s="20"/>
      <c r="P213" s="20"/>
      <c r="Q213" s="20"/>
      <c r="R213" s="20"/>
      <c r="S213" s="20"/>
      <c r="T213" s="20"/>
      <c r="U213" s="20"/>
      <c r="V213" s="20"/>
      <c r="W213" s="20"/>
      <c r="X213" s="20"/>
      <c r="Y213" s="20"/>
    </row>
    <row r="214" spans="2:25" ht="13" x14ac:dyDescent="0.2">
      <c r="B214" s="20" t="s">
        <v>64</v>
      </c>
      <c r="C214" s="20" t="s">
        <v>64</v>
      </c>
      <c r="D214" s="20" t="s">
        <v>64</v>
      </c>
      <c r="E214" s="20" t="s">
        <v>64</v>
      </c>
      <c r="F214" s="21"/>
      <c r="G214" s="20" t="s">
        <v>64</v>
      </c>
      <c r="H214" s="20" t="s">
        <v>64</v>
      </c>
      <c r="I214" s="20" t="s">
        <v>64</v>
      </c>
      <c r="J214" s="31"/>
      <c r="K214" s="31" t="s">
        <v>64</v>
      </c>
      <c r="L214" s="21" t="s">
        <v>64</v>
      </c>
      <c r="M214" s="20"/>
      <c r="N214" s="20" t="s">
        <v>64</v>
      </c>
      <c r="O214" s="20"/>
      <c r="P214" s="20"/>
      <c r="Q214" s="20"/>
      <c r="R214" s="20"/>
      <c r="S214" s="20"/>
      <c r="T214" s="20"/>
      <c r="U214" s="20"/>
      <c r="V214" s="20"/>
      <c r="W214" s="20"/>
      <c r="X214" s="20"/>
      <c r="Y214" s="20"/>
    </row>
    <row r="215" spans="2:25" ht="13" x14ac:dyDescent="0.2">
      <c r="B215" s="20" t="s">
        <v>64</v>
      </c>
      <c r="C215" s="20" t="s">
        <v>64</v>
      </c>
      <c r="D215" s="20" t="s">
        <v>64</v>
      </c>
      <c r="E215" s="20" t="s">
        <v>64</v>
      </c>
      <c r="F215" s="21"/>
      <c r="G215" s="20" t="s">
        <v>64</v>
      </c>
      <c r="H215" s="20" t="s">
        <v>64</v>
      </c>
      <c r="I215" s="20" t="s">
        <v>64</v>
      </c>
      <c r="J215" s="31"/>
      <c r="K215" s="31" t="s">
        <v>64</v>
      </c>
      <c r="L215" s="21" t="s">
        <v>64</v>
      </c>
      <c r="M215" s="20"/>
      <c r="N215" s="20" t="s">
        <v>64</v>
      </c>
      <c r="O215" s="20"/>
      <c r="P215" s="20"/>
      <c r="Q215" s="20"/>
      <c r="R215" s="20"/>
      <c r="S215" s="20"/>
      <c r="T215" s="20"/>
      <c r="U215" s="20"/>
      <c r="V215" s="20"/>
      <c r="W215" s="20"/>
      <c r="X215" s="20"/>
      <c r="Y215" s="20"/>
    </row>
    <row r="216" spans="2:25" ht="13" x14ac:dyDescent="0.2">
      <c r="B216" s="20" t="s">
        <v>64</v>
      </c>
      <c r="C216" s="20" t="s">
        <v>64</v>
      </c>
      <c r="D216" s="20" t="s">
        <v>64</v>
      </c>
      <c r="E216" s="20" t="s">
        <v>64</v>
      </c>
      <c r="F216" s="21"/>
      <c r="G216" s="20" t="s">
        <v>64</v>
      </c>
      <c r="H216" s="20" t="s">
        <v>64</v>
      </c>
      <c r="I216" s="20" t="s">
        <v>64</v>
      </c>
      <c r="J216" s="31"/>
      <c r="K216" s="31" t="s">
        <v>64</v>
      </c>
      <c r="L216" s="21" t="s">
        <v>64</v>
      </c>
      <c r="M216" s="20"/>
      <c r="N216" s="20" t="s">
        <v>64</v>
      </c>
      <c r="O216" s="20"/>
      <c r="P216" s="20"/>
      <c r="Q216" s="20"/>
      <c r="R216" s="20"/>
      <c r="S216" s="20"/>
      <c r="T216" s="20"/>
      <c r="U216" s="20"/>
      <c r="V216" s="20"/>
      <c r="W216" s="20"/>
      <c r="X216" s="20"/>
      <c r="Y216" s="20"/>
    </row>
    <row r="217" spans="2:25" ht="13" x14ac:dyDescent="0.2">
      <c r="B217" s="20" t="s">
        <v>64</v>
      </c>
      <c r="C217" s="20" t="s">
        <v>64</v>
      </c>
      <c r="D217" s="20" t="s">
        <v>64</v>
      </c>
      <c r="E217" s="20" t="s">
        <v>64</v>
      </c>
      <c r="F217" s="21"/>
      <c r="G217" s="20" t="s">
        <v>64</v>
      </c>
      <c r="H217" s="20" t="s">
        <v>64</v>
      </c>
      <c r="I217" s="20" t="s">
        <v>64</v>
      </c>
      <c r="J217" s="31"/>
      <c r="K217" s="31" t="s">
        <v>64</v>
      </c>
      <c r="L217" s="21" t="s">
        <v>64</v>
      </c>
      <c r="M217" s="20"/>
      <c r="N217" s="20" t="s">
        <v>64</v>
      </c>
      <c r="O217" s="20"/>
      <c r="P217" s="20"/>
      <c r="Q217" s="20"/>
      <c r="R217" s="20"/>
      <c r="S217" s="20"/>
      <c r="T217" s="20"/>
      <c r="U217" s="20"/>
      <c r="V217" s="20"/>
      <c r="W217" s="20"/>
      <c r="X217" s="20"/>
      <c r="Y217" s="20"/>
    </row>
    <row r="218" spans="2:25" ht="13" x14ac:dyDescent="0.2">
      <c r="B218" s="20" t="s">
        <v>64</v>
      </c>
      <c r="C218" s="20" t="s">
        <v>64</v>
      </c>
      <c r="D218" s="20" t="s">
        <v>64</v>
      </c>
      <c r="E218" s="20" t="s">
        <v>64</v>
      </c>
      <c r="F218" s="21"/>
      <c r="G218" s="20" t="s">
        <v>64</v>
      </c>
      <c r="H218" s="20" t="s">
        <v>64</v>
      </c>
      <c r="I218" s="20" t="s">
        <v>64</v>
      </c>
      <c r="J218" s="31"/>
      <c r="K218" s="31" t="s">
        <v>64</v>
      </c>
      <c r="L218" s="21" t="s">
        <v>64</v>
      </c>
      <c r="M218" s="20"/>
      <c r="N218" s="20" t="s">
        <v>64</v>
      </c>
      <c r="O218" s="20"/>
      <c r="P218" s="20"/>
      <c r="Q218" s="20"/>
      <c r="R218" s="20"/>
      <c r="S218" s="20"/>
      <c r="T218" s="20"/>
      <c r="U218" s="20"/>
      <c r="V218" s="20"/>
      <c r="W218" s="20"/>
      <c r="X218" s="20"/>
      <c r="Y218" s="20"/>
    </row>
    <row r="219" spans="2:25" ht="13" x14ac:dyDescent="0.2">
      <c r="B219" s="20" t="s">
        <v>64</v>
      </c>
      <c r="C219" s="20" t="s">
        <v>64</v>
      </c>
      <c r="D219" s="20" t="s">
        <v>64</v>
      </c>
      <c r="E219" s="20" t="s">
        <v>64</v>
      </c>
      <c r="F219" s="21"/>
      <c r="G219" s="20" t="s">
        <v>64</v>
      </c>
      <c r="H219" s="20" t="s">
        <v>64</v>
      </c>
      <c r="I219" s="20" t="s">
        <v>64</v>
      </c>
      <c r="J219" s="31"/>
      <c r="K219" s="31" t="s">
        <v>64</v>
      </c>
      <c r="L219" s="21" t="s">
        <v>64</v>
      </c>
      <c r="M219" s="20"/>
      <c r="N219" s="20" t="s">
        <v>64</v>
      </c>
      <c r="O219" s="20"/>
      <c r="P219" s="20"/>
      <c r="Q219" s="20"/>
      <c r="R219" s="20"/>
      <c r="S219" s="20"/>
      <c r="T219" s="20"/>
      <c r="U219" s="20"/>
      <c r="V219" s="20"/>
      <c r="W219" s="20"/>
      <c r="X219" s="20"/>
      <c r="Y219" s="20"/>
    </row>
    <row r="220" spans="2:25" ht="13" x14ac:dyDescent="0.2">
      <c r="B220" s="20" t="s">
        <v>64</v>
      </c>
      <c r="C220" s="20" t="s">
        <v>64</v>
      </c>
      <c r="D220" s="20" t="s">
        <v>64</v>
      </c>
      <c r="E220" s="20" t="s">
        <v>64</v>
      </c>
      <c r="F220" s="21"/>
      <c r="G220" s="20" t="s">
        <v>64</v>
      </c>
      <c r="H220" s="20" t="s">
        <v>64</v>
      </c>
      <c r="I220" s="20" t="s">
        <v>64</v>
      </c>
      <c r="J220" s="31"/>
      <c r="K220" s="31" t="s">
        <v>64</v>
      </c>
      <c r="L220" s="21" t="s">
        <v>64</v>
      </c>
      <c r="M220" s="20"/>
      <c r="N220" s="20" t="s">
        <v>64</v>
      </c>
      <c r="O220" s="20"/>
      <c r="P220" s="20"/>
      <c r="Q220" s="20"/>
      <c r="R220" s="20"/>
      <c r="S220" s="20"/>
      <c r="T220" s="20"/>
      <c r="U220" s="20"/>
      <c r="V220" s="20"/>
      <c r="W220" s="20"/>
      <c r="X220" s="20"/>
      <c r="Y220" s="20"/>
    </row>
    <row r="221" spans="2:25" ht="13" x14ac:dyDescent="0.2">
      <c r="B221" s="20" t="s">
        <v>64</v>
      </c>
      <c r="C221" s="20" t="s">
        <v>64</v>
      </c>
      <c r="D221" s="20" t="s">
        <v>64</v>
      </c>
      <c r="E221" s="20" t="s">
        <v>64</v>
      </c>
      <c r="F221" s="21"/>
      <c r="G221" s="20" t="s">
        <v>64</v>
      </c>
      <c r="H221" s="20" t="s">
        <v>64</v>
      </c>
      <c r="I221" s="20" t="s">
        <v>64</v>
      </c>
      <c r="J221" s="31"/>
      <c r="K221" s="31" t="s">
        <v>64</v>
      </c>
      <c r="L221" s="21" t="s">
        <v>64</v>
      </c>
      <c r="M221" s="20"/>
      <c r="N221" s="20" t="s">
        <v>64</v>
      </c>
      <c r="O221" s="20"/>
      <c r="P221" s="20"/>
      <c r="Q221" s="20"/>
      <c r="R221" s="20"/>
      <c r="S221" s="20"/>
      <c r="T221" s="20"/>
      <c r="U221" s="20"/>
      <c r="V221" s="20"/>
      <c r="W221" s="20"/>
      <c r="X221" s="20"/>
      <c r="Y221" s="20"/>
    </row>
    <row r="222" spans="2:25" ht="13" x14ac:dyDescent="0.2">
      <c r="B222" s="20" t="s">
        <v>64</v>
      </c>
      <c r="C222" s="20" t="s">
        <v>64</v>
      </c>
      <c r="D222" s="20" t="s">
        <v>64</v>
      </c>
      <c r="E222" s="20" t="s">
        <v>64</v>
      </c>
      <c r="F222" s="21"/>
      <c r="G222" s="20" t="s">
        <v>64</v>
      </c>
      <c r="H222" s="20" t="s">
        <v>64</v>
      </c>
      <c r="I222" s="20" t="s">
        <v>64</v>
      </c>
      <c r="J222" s="31"/>
      <c r="K222" s="31" t="s">
        <v>64</v>
      </c>
      <c r="L222" s="21" t="s">
        <v>64</v>
      </c>
      <c r="M222" s="20"/>
      <c r="N222" s="20" t="s">
        <v>64</v>
      </c>
      <c r="O222" s="20"/>
      <c r="P222" s="20"/>
      <c r="Q222" s="20"/>
      <c r="R222" s="20"/>
      <c r="S222" s="20"/>
      <c r="T222" s="20"/>
      <c r="U222" s="20"/>
      <c r="V222" s="20"/>
      <c r="W222" s="20"/>
      <c r="X222" s="20"/>
      <c r="Y222" s="20"/>
    </row>
    <row r="223" spans="2:25" ht="13" x14ac:dyDescent="0.2">
      <c r="B223" s="20" t="s">
        <v>64</v>
      </c>
      <c r="C223" s="20" t="s">
        <v>64</v>
      </c>
      <c r="D223" s="20" t="s">
        <v>64</v>
      </c>
      <c r="E223" s="20" t="s">
        <v>64</v>
      </c>
      <c r="F223" s="21"/>
      <c r="G223" s="20" t="s">
        <v>64</v>
      </c>
      <c r="H223" s="20" t="s">
        <v>64</v>
      </c>
      <c r="I223" s="20" t="s">
        <v>64</v>
      </c>
      <c r="J223" s="31"/>
      <c r="K223" s="31" t="s">
        <v>64</v>
      </c>
      <c r="L223" s="21" t="s">
        <v>64</v>
      </c>
      <c r="M223" s="20"/>
      <c r="N223" s="20" t="s">
        <v>64</v>
      </c>
      <c r="O223" s="20"/>
      <c r="P223" s="20"/>
      <c r="Q223" s="20"/>
      <c r="R223" s="20"/>
      <c r="S223" s="20"/>
      <c r="T223" s="20"/>
      <c r="U223" s="20"/>
      <c r="V223" s="20"/>
      <c r="W223" s="20"/>
      <c r="X223" s="20"/>
      <c r="Y223" s="20"/>
    </row>
    <row r="224" spans="2:25" ht="13" x14ac:dyDescent="0.2">
      <c r="B224" s="20" t="s">
        <v>64</v>
      </c>
      <c r="C224" s="20" t="s">
        <v>64</v>
      </c>
      <c r="D224" s="20" t="s">
        <v>64</v>
      </c>
      <c r="E224" s="20" t="s">
        <v>64</v>
      </c>
      <c r="F224" s="21"/>
      <c r="G224" s="20" t="s">
        <v>64</v>
      </c>
      <c r="H224" s="20" t="s">
        <v>64</v>
      </c>
      <c r="I224" s="20" t="s">
        <v>64</v>
      </c>
      <c r="J224" s="31"/>
      <c r="K224" s="31" t="s">
        <v>64</v>
      </c>
      <c r="L224" s="21" t="s">
        <v>64</v>
      </c>
      <c r="M224" s="20"/>
      <c r="N224" s="20" t="s">
        <v>64</v>
      </c>
      <c r="O224" s="20"/>
      <c r="P224" s="20"/>
      <c r="Q224" s="20"/>
      <c r="R224" s="20"/>
      <c r="S224" s="20"/>
      <c r="T224" s="20"/>
      <c r="U224" s="20"/>
      <c r="V224" s="20"/>
      <c r="W224" s="20"/>
      <c r="X224" s="20"/>
      <c r="Y224" s="20"/>
    </row>
    <row r="225" spans="2:25" ht="13" x14ac:dyDescent="0.2">
      <c r="B225" s="20" t="s">
        <v>64</v>
      </c>
      <c r="C225" s="20" t="s">
        <v>64</v>
      </c>
      <c r="D225" s="20" t="s">
        <v>64</v>
      </c>
      <c r="E225" s="20" t="s">
        <v>64</v>
      </c>
      <c r="F225" s="21"/>
      <c r="G225" s="20" t="s">
        <v>64</v>
      </c>
      <c r="H225" s="20" t="s">
        <v>64</v>
      </c>
      <c r="I225" s="20" t="s">
        <v>64</v>
      </c>
      <c r="J225" s="31"/>
      <c r="K225" s="31" t="s">
        <v>64</v>
      </c>
      <c r="L225" s="21" t="s">
        <v>64</v>
      </c>
      <c r="M225" s="20"/>
      <c r="N225" s="20" t="s">
        <v>64</v>
      </c>
      <c r="O225" s="20"/>
      <c r="P225" s="20"/>
      <c r="Q225" s="20"/>
      <c r="R225" s="20"/>
      <c r="S225" s="20"/>
      <c r="T225" s="20"/>
      <c r="U225" s="20"/>
      <c r="V225" s="20"/>
      <c r="W225" s="20"/>
      <c r="X225" s="20"/>
      <c r="Y225" s="20"/>
    </row>
    <row r="226" spans="2:25" ht="13" x14ac:dyDescent="0.2">
      <c r="B226" s="20" t="s">
        <v>64</v>
      </c>
      <c r="C226" s="20" t="s">
        <v>64</v>
      </c>
      <c r="D226" s="20" t="s">
        <v>64</v>
      </c>
      <c r="E226" s="20" t="s">
        <v>64</v>
      </c>
      <c r="F226" s="21"/>
      <c r="G226" s="20" t="s">
        <v>64</v>
      </c>
      <c r="H226" s="20" t="s">
        <v>64</v>
      </c>
      <c r="I226" s="20" t="s">
        <v>64</v>
      </c>
      <c r="J226" s="31"/>
      <c r="K226" s="31" t="s">
        <v>64</v>
      </c>
      <c r="L226" s="21" t="s">
        <v>64</v>
      </c>
      <c r="M226" s="20"/>
      <c r="N226" s="20" t="s">
        <v>64</v>
      </c>
      <c r="O226" s="20"/>
      <c r="P226" s="20"/>
      <c r="Q226" s="20"/>
      <c r="R226" s="20"/>
      <c r="S226" s="20"/>
      <c r="T226" s="20"/>
      <c r="U226" s="20"/>
      <c r="V226" s="20"/>
      <c r="W226" s="20"/>
      <c r="X226" s="20"/>
      <c r="Y226" s="20"/>
    </row>
    <row r="227" spans="2:25" ht="13" x14ac:dyDescent="0.2">
      <c r="B227" s="20" t="s">
        <v>64</v>
      </c>
      <c r="C227" s="20" t="s">
        <v>64</v>
      </c>
      <c r="D227" s="20" t="s">
        <v>64</v>
      </c>
      <c r="E227" s="20" t="s">
        <v>64</v>
      </c>
      <c r="F227" s="21"/>
      <c r="G227" s="20" t="s">
        <v>64</v>
      </c>
      <c r="H227" s="20" t="s">
        <v>64</v>
      </c>
      <c r="I227" s="20" t="s">
        <v>64</v>
      </c>
      <c r="J227" s="31"/>
      <c r="K227" s="31" t="s">
        <v>64</v>
      </c>
      <c r="L227" s="21" t="s">
        <v>64</v>
      </c>
      <c r="M227" s="20"/>
      <c r="N227" s="20" t="s">
        <v>64</v>
      </c>
      <c r="O227" s="20"/>
      <c r="P227" s="20"/>
      <c r="Q227" s="20"/>
      <c r="R227" s="20"/>
      <c r="S227" s="20"/>
      <c r="T227" s="20"/>
      <c r="U227" s="20"/>
      <c r="V227" s="20"/>
      <c r="W227" s="20"/>
      <c r="X227" s="20"/>
      <c r="Y227" s="20"/>
    </row>
    <row r="228" spans="2:25" ht="13" x14ac:dyDescent="0.2">
      <c r="B228" s="20" t="s">
        <v>64</v>
      </c>
      <c r="C228" s="20" t="s">
        <v>64</v>
      </c>
      <c r="D228" s="20" t="s">
        <v>64</v>
      </c>
      <c r="E228" s="20" t="s">
        <v>64</v>
      </c>
      <c r="F228" s="21"/>
      <c r="G228" s="20" t="s">
        <v>64</v>
      </c>
      <c r="H228" s="20" t="s">
        <v>64</v>
      </c>
      <c r="I228" s="20" t="s">
        <v>64</v>
      </c>
      <c r="J228" s="31"/>
      <c r="K228" s="31" t="s">
        <v>64</v>
      </c>
      <c r="L228" s="21" t="s">
        <v>64</v>
      </c>
      <c r="M228" s="20"/>
      <c r="N228" s="20" t="s">
        <v>64</v>
      </c>
      <c r="O228" s="20"/>
      <c r="P228" s="20"/>
      <c r="Q228" s="20"/>
      <c r="R228" s="20"/>
      <c r="S228" s="20"/>
      <c r="T228" s="20"/>
      <c r="U228" s="20"/>
      <c r="V228" s="20"/>
      <c r="W228" s="20"/>
      <c r="X228" s="20"/>
      <c r="Y228" s="20"/>
    </row>
  </sheetData>
  <phoneticPr fontId="2"/>
  <pageMargins left="0.74803149606299213" right="0.74803149606299213" top="0.98425196850393704" bottom="0.98425196850393704" header="0.51181102362204722" footer="0.51181102362204722"/>
  <pageSetup paperSize="9"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4CD35-8AD6-4A50-BE80-4547D058D76B}">
  <sheetPr>
    <tabColor indexed="49"/>
    <pageSetUpPr fitToPage="1"/>
  </sheetPr>
  <dimension ref="A1:S37"/>
  <sheetViews>
    <sheetView view="pageBreakPreview" zoomScale="85" zoomScaleNormal="85" zoomScaleSheetLayoutView="85" workbookViewId="0">
      <selection activeCell="C29" sqref="C29"/>
    </sheetView>
  </sheetViews>
  <sheetFormatPr defaultColWidth="8.1640625" defaultRowHeight="15" customHeight="1" x14ac:dyDescent="0.2"/>
  <cols>
    <col min="1" max="1" width="5.25" style="111" bestFit="1" customWidth="1"/>
    <col min="2" max="2" width="19.4140625" style="60" customWidth="1"/>
    <col min="3" max="3" width="8.58203125" style="67" customWidth="1"/>
    <col min="4" max="4" width="31.33203125" style="60" customWidth="1"/>
    <col min="5" max="5" width="15.08203125" style="60" bestFit="1" customWidth="1"/>
    <col min="6" max="6" width="3.08203125" style="60" bestFit="1" customWidth="1"/>
    <col min="7" max="7" width="11.33203125" style="60" customWidth="1"/>
    <col min="8" max="8" width="23.4140625" style="60" customWidth="1"/>
    <col min="9" max="9" width="21.83203125" style="67" bestFit="1" customWidth="1"/>
    <col min="10" max="11" width="3.1640625" style="95" customWidth="1"/>
    <col min="12" max="13" width="8.1640625" style="60" hidden="1" customWidth="1"/>
    <col min="14" max="256" width="8.1640625" style="60"/>
    <col min="257" max="257" width="2.6640625" style="60" customWidth="1"/>
    <col min="258" max="258" width="19.4140625" style="60" customWidth="1"/>
    <col min="259" max="259" width="8.58203125" style="60" customWidth="1"/>
    <col min="260" max="260" width="31.33203125" style="60" customWidth="1"/>
    <col min="261" max="261" width="15.08203125" style="60" bestFit="1" customWidth="1"/>
    <col min="262" max="262" width="3.08203125" style="60" bestFit="1" customWidth="1"/>
    <col min="263" max="263" width="11.33203125" style="60" customWidth="1"/>
    <col min="264" max="264" width="22.25" style="60" customWidth="1"/>
    <col min="265" max="265" width="21.83203125" style="60" bestFit="1" customWidth="1"/>
    <col min="266" max="267" width="3.1640625" style="60" customWidth="1"/>
    <col min="268" max="269" width="0" style="60" hidden="1" customWidth="1"/>
    <col min="270" max="512" width="8.1640625" style="60"/>
    <col min="513" max="513" width="2.6640625" style="60" customWidth="1"/>
    <col min="514" max="514" width="19.4140625" style="60" customWidth="1"/>
    <col min="515" max="515" width="8.58203125" style="60" customWidth="1"/>
    <col min="516" max="516" width="31.33203125" style="60" customWidth="1"/>
    <col min="517" max="517" width="15.08203125" style="60" bestFit="1" customWidth="1"/>
    <col min="518" max="518" width="3.08203125" style="60" bestFit="1" customWidth="1"/>
    <col min="519" max="519" width="11.33203125" style="60" customWidth="1"/>
    <col min="520" max="520" width="22.25" style="60" customWidth="1"/>
    <col min="521" max="521" width="21.83203125" style="60" bestFit="1" customWidth="1"/>
    <col min="522" max="523" width="3.1640625" style="60" customWidth="1"/>
    <col min="524" max="525" width="0" style="60" hidden="1" customWidth="1"/>
    <col min="526" max="768" width="8.1640625" style="60"/>
    <col min="769" max="769" width="2.6640625" style="60" customWidth="1"/>
    <col min="770" max="770" width="19.4140625" style="60" customWidth="1"/>
    <col min="771" max="771" width="8.58203125" style="60" customWidth="1"/>
    <col min="772" max="772" width="31.33203125" style="60" customWidth="1"/>
    <col min="773" max="773" width="15.08203125" style="60" bestFit="1" customWidth="1"/>
    <col min="774" max="774" width="3.08203125" style="60" bestFit="1" customWidth="1"/>
    <col min="775" max="775" width="11.33203125" style="60" customWidth="1"/>
    <col min="776" max="776" width="22.25" style="60" customWidth="1"/>
    <col min="777" max="777" width="21.83203125" style="60" bestFit="1" customWidth="1"/>
    <col min="778" max="779" width="3.1640625" style="60" customWidth="1"/>
    <col min="780" max="781" width="0" style="60" hidden="1" customWidth="1"/>
    <col min="782" max="1024" width="8.1640625" style="60"/>
    <col min="1025" max="1025" width="2.6640625" style="60" customWidth="1"/>
    <col min="1026" max="1026" width="19.4140625" style="60" customWidth="1"/>
    <col min="1027" max="1027" width="8.58203125" style="60" customWidth="1"/>
    <col min="1028" max="1028" width="31.33203125" style="60" customWidth="1"/>
    <col min="1029" max="1029" width="15.08203125" style="60" bestFit="1" customWidth="1"/>
    <col min="1030" max="1030" width="3.08203125" style="60" bestFit="1" customWidth="1"/>
    <col min="1031" max="1031" width="11.33203125" style="60" customWidth="1"/>
    <col min="1032" max="1032" width="22.25" style="60" customWidth="1"/>
    <col min="1033" max="1033" width="21.83203125" style="60" bestFit="1" customWidth="1"/>
    <col min="1034" max="1035" width="3.1640625" style="60" customWidth="1"/>
    <col min="1036" max="1037" width="0" style="60" hidden="1" customWidth="1"/>
    <col min="1038" max="1280" width="8.1640625" style="60"/>
    <col min="1281" max="1281" width="2.6640625" style="60" customWidth="1"/>
    <col min="1282" max="1282" width="19.4140625" style="60" customWidth="1"/>
    <col min="1283" max="1283" width="8.58203125" style="60" customWidth="1"/>
    <col min="1284" max="1284" width="31.33203125" style="60" customWidth="1"/>
    <col min="1285" max="1285" width="15.08203125" style="60" bestFit="1" customWidth="1"/>
    <col min="1286" max="1286" width="3.08203125" style="60" bestFit="1" customWidth="1"/>
    <col min="1287" max="1287" width="11.33203125" style="60" customWidth="1"/>
    <col min="1288" max="1288" width="22.25" style="60" customWidth="1"/>
    <col min="1289" max="1289" width="21.83203125" style="60" bestFit="1" customWidth="1"/>
    <col min="1290" max="1291" width="3.1640625" style="60" customWidth="1"/>
    <col min="1292" max="1293" width="0" style="60" hidden="1" customWidth="1"/>
    <col min="1294" max="1536" width="8.1640625" style="60"/>
    <col min="1537" max="1537" width="2.6640625" style="60" customWidth="1"/>
    <col min="1538" max="1538" width="19.4140625" style="60" customWidth="1"/>
    <col min="1539" max="1539" width="8.58203125" style="60" customWidth="1"/>
    <col min="1540" max="1540" width="31.33203125" style="60" customWidth="1"/>
    <col min="1541" max="1541" width="15.08203125" style="60" bestFit="1" customWidth="1"/>
    <col min="1542" max="1542" width="3.08203125" style="60" bestFit="1" customWidth="1"/>
    <col min="1543" max="1543" width="11.33203125" style="60" customWidth="1"/>
    <col min="1544" max="1544" width="22.25" style="60" customWidth="1"/>
    <col min="1545" max="1545" width="21.83203125" style="60" bestFit="1" customWidth="1"/>
    <col min="1546" max="1547" width="3.1640625" style="60" customWidth="1"/>
    <col min="1548" max="1549" width="0" style="60" hidden="1" customWidth="1"/>
    <col min="1550" max="1792" width="8.1640625" style="60"/>
    <col min="1793" max="1793" width="2.6640625" style="60" customWidth="1"/>
    <col min="1794" max="1794" width="19.4140625" style="60" customWidth="1"/>
    <col min="1795" max="1795" width="8.58203125" style="60" customWidth="1"/>
    <col min="1796" max="1796" width="31.33203125" style="60" customWidth="1"/>
    <col min="1797" max="1797" width="15.08203125" style="60" bestFit="1" customWidth="1"/>
    <col min="1798" max="1798" width="3.08203125" style="60" bestFit="1" customWidth="1"/>
    <col min="1799" max="1799" width="11.33203125" style="60" customWidth="1"/>
    <col min="1800" max="1800" width="22.25" style="60" customWidth="1"/>
    <col min="1801" max="1801" width="21.83203125" style="60" bestFit="1" customWidth="1"/>
    <col min="1802" max="1803" width="3.1640625" style="60" customWidth="1"/>
    <col min="1804" max="1805" width="0" style="60" hidden="1" customWidth="1"/>
    <col min="1806" max="2048" width="8.1640625" style="60"/>
    <col min="2049" max="2049" width="2.6640625" style="60" customWidth="1"/>
    <col min="2050" max="2050" width="19.4140625" style="60" customWidth="1"/>
    <col min="2051" max="2051" width="8.58203125" style="60" customWidth="1"/>
    <col min="2052" max="2052" width="31.33203125" style="60" customWidth="1"/>
    <col min="2053" max="2053" width="15.08203125" style="60" bestFit="1" customWidth="1"/>
    <col min="2054" max="2054" width="3.08203125" style="60" bestFit="1" customWidth="1"/>
    <col min="2055" max="2055" width="11.33203125" style="60" customWidth="1"/>
    <col min="2056" max="2056" width="22.25" style="60" customWidth="1"/>
    <col min="2057" max="2057" width="21.83203125" style="60" bestFit="1" customWidth="1"/>
    <col min="2058" max="2059" width="3.1640625" style="60" customWidth="1"/>
    <col min="2060" max="2061" width="0" style="60" hidden="1" customWidth="1"/>
    <col min="2062" max="2304" width="8.1640625" style="60"/>
    <col min="2305" max="2305" width="2.6640625" style="60" customWidth="1"/>
    <col min="2306" max="2306" width="19.4140625" style="60" customWidth="1"/>
    <col min="2307" max="2307" width="8.58203125" style="60" customWidth="1"/>
    <col min="2308" max="2308" width="31.33203125" style="60" customWidth="1"/>
    <col min="2309" max="2309" width="15.08203125" style="60" bestFit="1" customWidth="1"/>
    <col min="2310" max="2310" width="3.08203125" style="60" bestFit="1" customWidth="1"/>
    <col min="2311" max="2311" width="11.33203125" style="60" customWidth="1"/>
    <col min="2312" max="2312" width="22.25" style="60" customWidth="1"/>
    <col min="2313" max="2313" width="21.83203125" style="60" bestFit="1" customWidth="1"/>
    <col min="2314" max="2315" width="3.1640625" style="60" customWidth="1"/>
    <col min="2316" max="2317" width="0" style="60" hidden="1" customWidth="1"/>
    <col min="2318" max="2560" width="8.1640625" style="60"/>
    <col min="2561" max="2561" width="2.6640625" style="60" customWidth="1"/>
    <col min="2562" max="2562" width="19.4140625" style="60" customWidth="1"/>
    <col min="2563" max="2563" width="8.58203125" style="60" customWidth="1"/>
    <col min="2564" max="2564" width="31.33203125" style="60" customWidth="1"/>
    <col min="2565" max="2565" width="15.08203125" style="60" bestFit="1" customWidth="1"/>
    <col min="2566" max="2566" width="3.08203125" style="60" bestFit="1" customWidth="1"/>
    <col min="2567" max="2567" width="11.33203125" style="60" customWidth="1"/>
    <col min="2568" max="2568" width="22.25" style="60" customWidth="1"/>
    <col min="2569" max="2569" width="21.83203125" style="60" bestFit="1" customWidth="1"/>
    <col min="2570" max="2571" width="3.1640625" style="60" customWidth="1"/>
    <col min="2572" max="2573" width="0" style="60" hidden="1" customWidth="1"/>
    <col min="2574" max="2816" width="8.1640625" style="60"/>
    <col min="2817" max="2817" width="2.6640625" style="60" customWidth="1"/>
    <col min="2818" max="2818" width="19.4140625" style="60" customWidth="1"/>
    <col min="2819" max="2819" width="8.58203125" style="60" customWidth="1"/>
    <col min="2820" max="2820" width="31.33203125" style="60" customWidth="1"/>
    <col min="2821" max="2821" width="15.08203125" style="60" bestFit="1" customWidth="1"/>
    <col min="2822" max="2822" width="3.08203125" style="60" bestFit="1" customWidth="1"/>
    <col min="2823" max="2823" width="11.33203125" style="60" customWidth="1"/>
    <col min="2824" max="2824" width="22.25" style="60" customWidth="1"/>
    <col min="2825" max="2825" width="21.83203125" style="60" bestFit="1" customWidth="1"/>
    <col min="2826" max="2827" width="3.1640625" style="60" customWidth="1"/>
    <col min="2828" max="2829" width="0" style="60" hidden="1" customWidth="1"/>
    <col min="2830" max="3072" width="8.1640625" style="60"/>
    <col min="3073" max="3073" width="2.6640625" style="60" customWidth="1"/>
    <col min="3074" max="3074" width="19.4140625" style="60" customWidth="1"/>
    <col min="3075" max="3075" width="8.58203125" style="60" customWidth="1"/>
    <col min="3076" max="3076" width="31.33203125" style="60" customWidth="1"/>
    <col min="3077" max="3077" width="15.08203125" style="60" bestFit="1" customWidth="1"/>
    <col min="3078" max="3078" width="3.08203125" style="60" bestFit="1" customWidth="1"/>
    <col min="3079" max="3079" width="11.33203125" style="60" customWidth="1"/>
    <col min="3080" max="3080" width="22.25" style="60" customWidth="1"/>
    <col min="3081" max="3081" width="21.83203125" style="60" bestFit="1" customWidth="1"/>
    <col min="3082" max="3083" width="3.1640625" style="60" customWidth="1"/>
    <col min="3084" max="3085" width="0" style="60" hidden="1" customWidth="1"/>
    <col min="3086" max="3328" width="8.1640625" style="60"/>
    <col min="3329" max="3329" width="2.6640625" style="60" customWidth="1"/>
    <col min="3330" max="3330" width="19.4140625" style="60" customWidth="1"/>
    <col min="3331" max="3331" width="8.58203125" style="60" customWidth="1"/>
    <col min="3332" max="3332" width="31.33203125" style="60" customWidth="1"/>
    <col min="3333" max="3333" width="15.08203125" style="60" bestFit="1" customWidth="1"/>
    <col min="3334" max="3334" width="3.08203125" style="60" bestFit="1" customWidth="1"/>
    <col min="3335" max="3335" width="11.33203125" style="60" customWidth="1"/>
    <col min="3336" max="3336" width="22.25" style="60" customWidth="1"/>
    <col min="3337" max="3337" width="21.83203125" style="60" bestFit="1" customWidth="1"/>
    <col min="3338" max="3339" width="3.1640625" style="60" customWidth="1"/>
    <col min="3340" max="3341" width="0" style="60" hidden="1" customWidth="1"/>
    <col min="3342" max="3584" width="8.1640625" style="60"/>
    <col min="3585" max="3585" width="2.6640625" style="60" customWidth="1"/>
    <col min="3586" max="3586" width="19.4140625" style="60" customWidth="1"/>
    <col min="3587" max="3587" width="8.58203125" style="60" customWidth="1"/>
    <col min="3588" max="3588" width="31.33203125" style="60" customWidth="1"/>
    <col min="3589" max="3589" width="15.08203125" style="60" bestFit="1" customWidth="1"/>
    <col min="3590" max="3590" width="3.08203125" style="60" bestFit="1" customWidth="1"/>
    <col min="3591" max="3591" width="11.33203125" style="60" customWidth="1"/>
    <col min="3592" max="3592" width="22.25" style="60" customWidth="1"/>
    <col min="3593" max="3593" width="21.83203125" style="60" bestFit="1" customWidth="1"/>
    <col min="3594" max="3595" width="3.1640625" style="60" customWidth="1"/>
    <col min="3596" max="3597" width="0" style="60" hidden="1" customWidth="1"/>
    <col min="3598" max="3840" width="8.1640625" style="60"/>
    <col min="3841" max="3841" width="2.6640625" style="60" customWidth="1"/>
    <col min="3842" max="3842" width="19.4140625" style="60" customWidth="1"/>
    <col min="3843" max="3843" width="8.58203125" style="60" customWidth="1"/>
    <col min="3844" max="3844" width="31.33203125" style="60" customWidth="1"/>
    <col min="3845" max="3845" width="15.08203125" style="60" bestFit="1" customWidth="1"/>
    <col min="3846" max="3846" width="3.08203125" style="60" bestFit="1" customWidth="1"/>
    <col min="3847" max="3847" width="11.33203125" style="60" customWidth="1"/>
    <col min="3848" max="3848" width="22.25" style="60" customWidth="1"/>
    <col min="3849" max="3849" width="21.83203125" style="60" bestFit="1" customWidth="1"/>
    <col min="3850" max="3851" width="3.1640625" style="60" customWidth="1"/>
    <col min="3852" max="3853" width="0" style="60" hidden="1" customWidth="1"/>
    <col min="3854" max="4096" width="8.1640625" style="60"/>
    <col min="4097" max="4097" width="2.6640625" style="60" customWidth="1"/>
    <col min="4098" max="4098" width="19.4140625" style="60" customWidth="1"/>
    <col min="4099" max="4099" width="8.58203125" style="60" customWidth="1"/>
    <col min="4100" max="4100" width="31.33203125" style="60" customWidth="1"/>
    <col min="4101" max="4101" width="15.08203125" style="60" bestFit="1" customWidth="1"/>
    <col min="4102" max="4102" width="3.08203125" style="60" bestFit="1" customWidth="1"/>
    <col min="4103" max="4103" width="11.33203125" style="60" customWidth="1"/>
    <col min="4104" max="4104" width="22.25" style="60" customWidth="1"/>
    <col min="4105" max="4105" width="21.83203125" style="60" bestFit="1" customWidth="1"/>
    <col min="4106" max="4107" width="3.1640625" style="60" customWidth="1"/>
    <col min="4108" max="4109" width="0" style="60" hidden="1" customWidth="1"/>
    <col min="4110" max="4352" width="8.1640625" style="60"/>
    <col min="4353" max="4353" width="2.6640625" style="60" customWidth="1"/>
    <col min="4354" max="4354" width="19.4140625" style="60" customWidth="1"/>
    <col min="4355" max="4355" width="8.58203125" style="60" customWidth="1"/>
    <col min="4356" max="4356" width="31.33203125" style="60" customWidth="1"/>
    <col min="4357" max="4357" width="15.08203125" style="60" bestFit="1" customWidth="1"/>
    <col min="4358" max="4358" width="3.08203125" style="60" bestFit="1" customWidth="1"/>
    <col min="4359" max="4359" width="11.33203125" style="60" customWidth="1"/>
    <col min="4360" max="4360" width="22.25" style="60" customWidth="1"/>
    <col min="4361" max="4361" width="21.83203125" style="60" bestFit="1" customWidth="1"/>
    <col min="4362" max="4363" width="3.1640625" style="60" customWidth="1"/>
    <col min="4364" max="4365" width="0" style="60" hidden="1" customWidth="1"/>
    <col min="4366" max="4608" width="8.1640625" style="60"/>
    <col min="4609" max="4609" width="2.6640625" style="60" customWidth="1"/>
    <col min="4610" max="4610" width="19.4140625" style="60" customWidth="1"/>
    <col min="4611" max="4611" width="8.58203125" style="60" customWidth="1"/>
    <col min="4612" max="4612" width="31.33203125" style="60" customWidth="1"/>
    <col min="4613" max="4613" width="15.08203125" style="60" bestFit="1" customWidth="1"/>
    <col min="4614" max="4614" width="3.08203125" style="60" bestFit="1" customWidth="1"/>
    <col min="4615" max="4615" width="11.33203125" style="60" customWidth="1"/>
    <col min="4616" max="4616" width="22.25" style="60" customWidth="1"/>
    <col min="4617" max="4617" width="21.83203125" style="60" bestFit="1" customWidth="1"/>
    <col min="4618" max="4619" width="3.1640625" style="60" customWidth="1"/>
    <col min="4620" max="4621" width="0" style="60" hidden="1" customWidth="1"/>
    <col min="4622" max="4864" width="8.1640625" style="60"/>
    <col min="4865" max="4865" width="2.6640625" style="60" customWidth="1"/>
    <col min="4866" max="4866" width="19.4140625" style="60" customWidth="1"/>
    <col min="4867" max="4867" width="8.58203125" style="60" customWidth="1"/>
    <col min="4868" max="4868" width="31.33203125" style="60" customWidth="1"/>
    <col min="4869" max="4869" width="15.08203125" style="60" bestFit="1" customWidth="1"/>
    <col min="4870" max="4870" width="3.08203125" style="60" bestFit="1" customWidth="1"/>
    <col min="4871" max="4871" width="11.33203125" style="60" customWidth="1"/>
    <col min="4872" max="4872" width="22.25" style="60" customWidth="1"/>
    <col min="4873" max="4873" width="21.83203125" style="60" bestFit="1" customWidth="1"/>
    <col min="4874" max="4875" width="3.1640625" style="60" customWidth="1"/>
    <col min="4876" max="4877" width="0" style="60" hidden="1" customWidth="1"/>
    <col min="4878" max="5120" width="8.1640625" style="60"/>
    <col min="5121" max="5121" width="2.6640625" style="60" customWidth="1"/>
    <col min="5122" max="5122" width="19.4140625" style="60" customWidth="1"/>
    <col min="5123" max="5123" width="8.58203125" style="60" customWidth="1"/>
    <col min="5124" max="5124" width="31.33203125" style="60" customWidth="1"/>
    <col min="5125" max="5125" width="15.08203125" style="60" bestFit="1" customWidth="1"/>
    <col min="5126" max="5126" width="3.08203125" style="60" bestFit="1" customWidth="1"/>
    <col min="5127" max="5127" width="11.33203125" style="60" customWidth="1"/>
    <col min="5128" max="5128" width="22.25" style="60" customWidth="1"/>
    <col min="5129" max="5129" width="21.83203125" style="60" bestFit="1" customWidth="1"/>
    <col min="5130" max="5131" width="3.1640625" style="60" customWidth="1"/>
    <col min="5132" max="5133" width="0" style="60" hidden="1" customWidth="1"/>
    <col min="5134" max="5376" width="8.1640625" style="60"/>
    <col min="5377" max="5377" width="2.6640625" style="60" customWidth="1"/>
    <col min="5378" max="5378" width="19.4140625" style="60" customWidth="1"/>
    <col min="5379" max="5379" width="8.58203125" style="60" customWidth="1"/>
    <col min="5380" max="5380" width="31.33203125" style="60" customWidth="1"/>
    <col min="5381" max="5381" width="15.08203125" style="60" bestFit="1" customWidth="1"/>
    <col min="5382" max="5382" width="3.08203125" style="60" bestFit="1" customWidth="1"/>
    <col min="5383" max="5383" width="11.33203125" style="60" customWidth="1"/>
    <col min="5384" max="5384" width="22.25" style="60" customWidth="1"/>
    <col min="5385" max="5385" width="21.83203125" style="60" bestFit="1" customWidth="1"/>
    <col min="5386" max="5387" width="3.1640625" style="60" customWidth="1"/>
    <col min="5388" max="5389" width="0" style="60" hidden="1" customWidth="1"/>
    <col min="5390" max="5632" width="8.1640625" style="60"/>
    <col min="5633" max="5633" width="2.6640625" style="60" customWidth="1"/>
    <col min="5634" max="5634" width="19.4140625" style="60" customWidth="1"/>
    <col min="5635" max="5635" width="8.58203125" style="60" customWidth="1"/>
    <col min="5636" max="5636" width="31.33203125" style="60" customWidth="1"/>
    <col min="5637" max="5637" width="15.08203125" style="60" bestFit="1" customWidth="1"/>
    <col min="5638" max="5638" width="3.08203125" style="60" bestFit="1" customWidth="1"/>
    <col min="5639" max="5639" width="11.33203125" style="60" customWidth="1"/>
    <col min="5640" max="5640" width="22.25" style="60" customWidth="1"/>
    <col min="5641" max="5641" width="21.83203125" style="60" bestFit="1" customWidth="1"/>
    <col min="5642" max="5643" width="3.1640625" style="60" customWidth="1"/>
    <col min="5644" max="5645" width="0" style="60" hidden="1" customWidth="1"/>
    <col min="5646" max="5888" width="8.1640625" style="60"/>
    <col min="5889" max="5889" width="2.6640625" style="60" customWidth="1"/>
    <col min="5890" max="5890" width="19.4140625" style="60" customWidth="1"/>
    <col min="5891" max="5891" width="8.58203125" style="60" customWidth="1"/>
    <col min="5892" max="5892" width="31.33203125" style="60" customWidth="1"/>
    <col min="5893" max="5893" width="15.08203125" style="60" bestFit="1" customWidth="1"/>
    <col min="5894" max="5894" width="3.08203125" style="60" bestFit="1" customWidth="1"/>
    <col min="5895" max="5895" width="11.33203125" style="60" customWidth="1"/>
    <col min="5896" max="5896" width="22.25" style="60" customWidth="1"/>
    <col min="5897" max="5897" width="21.83203125" style="60" bestFit="1" customWidth="1"/>
    <col min="5898" max="5899" width="3.1640625" style="60" customWidth="1"/>
    <col min="5900" max="5901" width="0" style="60" hidden="1" customWidth="1"/>
    <col min="5902" max="6144" width="8.1640625" style="60"/>
    <col min="6145" max="6145" width="2.6640625" style="60" customWidth="1"/>
    <col min="6146" max="6146" width="19.4140625" style="60" customWidth="1"/>
    <col min="6147" max="6147" width="8.58203125" style="60" customWidth="1"/>
    <col min="6148" max="6148" width="31.33203125" style="60" customWidth="1"/>
    <col min="6149" max="6149" width="15.08203125" style="60" bestFit="1" customWidth="1"/>
    <col min="6150" max="6150" width="3.08203125" style="60" bestFit="1" customWidth="1"/>
    <col min="6151" max="6151" width="11.33203125" style="60" customWidth="1"/>
    <col min="6152" max="6152" width="22.25" style="60" customWidth="1"/>
    <col min="6153" max="6153" width="21.83203125" style="60" bestFit="1" customWidth="1"/>
    <col min="6154" max="6155" width="3.1640625" style="60" customWidth="1"/>
    <col min="6156" max="6157" width="0" style="60" hidden="1" customWidth="1"/>
    <col min="6158" max="6400" width="8.1640625" style="60"/>
    <col min="6401" max="6401" width="2.6640625" style="60" customWidth="1"/>
    <col min="6402" max="6402" width="19.4140625" style="60" customWidth="1"/>
    <col min="6403" max="6403" width="8.58203125" style="60" customWidth="1"/>
    <col min="6404" max="6404" width="31.33203125" style="60" customWidth="1"/>
    <col min="6405" max="6405" width="15.08203125" style="60" bestFit="1" customWidth="1"/>
    <col min="6406" max="6406" width="3.08203125" style="60" bestFit="1" customWidth="1"/>
    <col min="6407" max="6407" width="11.33203125" style="60" customWidth="1"/>
    <col min="6408" max="6408" width="22.25" style="60" customWidth="1"/>
    <col min="6409" max="6409" width="21.83203125" style="60" bestFit="1" customWidth="1"/>
    <col min="6410" max="6411" width="3.1640625" style="60" customWidth="1"/>
    <col min="6412" max="6413" width="0" style="60" hidden="1" customWidth="1"/>
    <col min="6414" max="6656" width="8.1640625" style="60"/>
    <col min="6657" max="6657" width="2.6640625" style="60" customWidth="1"/>
    <col min="6658" max="6658" width="19.4140625" style="60" customWidth="1"/>
    <col min="6659" max="6659" width="8.58203125" style="60" customWidth="1"/>
    <col min="6660" max="6660" width="31.33203125" style="60" customWidth="1"/>
    <col min="6661" max="6661" width="15.08203125" style="60" bestFit="1" customWidth="1"/>
    <col min="6662" max="6662" width="3.08203125" style="60" bestFit="1" customWidth="1"/>
    <col min="6663" max="6663" width="11.33203125" style="60" customWidth="1"/>
    <col min="6664" max="6664" width="22.25" style="60" customWidth="1"/>
    <col min="6665" max="6665" width="21.83203125" style="60" bestFit="1" customWidth="1"/>
    <col min="6666" max="6667" width="3.1640625" style="60" customWidth="1"/>
    <col min="6668" max="6669" width="0" style="60" hidden="1" customWidth="1"/>
    <col min="6670" max="6912" width="8.1640625" style="60"/>
    <col min="6913" max="6913" width="2.6640625" style="60" customWidth="1"/>
    <col min="6914" max="6914" width="19.4140625" style="60" customWidth="1"/>
    <col min="6915" max="6915" width="8.58203125" style="60" customWidth="1"/>
    <col min="6916" max="6916" width="31.33203125" style="60" customWidth="1"/>
    <col min="6917" max="6917" width="15.08203125" style="60" bestFit="1" customWidth="1"/>
    <col min="6918" max="6918" width="3.08203125" style="60" bestFit="1" customWidth="1"/>
    <col min="6919" max="6919" width="11.33203125" style="60" customWidth="1"/>
    <col min="6920" max="6920" width="22.25" style="60" customWidth="1"/>
    <col min="6921" max="6921" width="21.83203125" style="60" bestFit="1" customWidth="1"/>
    <col min="6922" max="6923" width="3.1640625" style="60" customWidth="1"/>
    <col min="6924" max="6925" width="0" style="60" hidden="1" customWidth="1"/>
    <col min="6926" max="7168" width="8.1640625" style="60"/>
    <col min="7169" max="7169" width="2.6640625" style="60" customWidth="1"/>
    <col min="7170" max="7170" width="19.4140625" style="60" customWidth="1"/>
    <col min="7171" max="7171" width="8.58203125" style="60" customWidth="1"/>
    <col min="7172" max="7172" width="31.33203125" style="60" customWidth="1"/>
    <col min="7173" max="7173" width="15.08203125" style="60" bestFit="1" customWidth="1"/>
    <col min="7174" max="7174" width="3.08203125" style="60" bestFit="1" customWidth="1"/>
    <col min="7175" max="7175" width="11.33203125" style="60" customWidth="1"/>
    <col min="7176" max="7176" width="22.25" style="60" customWidth="1"/>
    <col min="7177" max="7177" width="21.83203125" style="60" bestFit="1" customWidth="1"/>
    <col min="7178" max="7179" width="3.1640625" style="60" customWidth="1"/>
    <col min="7180" max="7181" width="0" style="60" hidden="1" customWidth="1"/>
    <col min="7182" max="7424" width="8.1640625" style="60"/>
    <col min="7425" max="7425" width="2.6640625" style="60" customWidth="1"/>
    <col min="7426" max="7426" width="19.4140625" style="60" customWidth="1"/>
    <col min="7427" max="7427" width="8.58203125" style="60" customWidth="1"/>
    <col min="7428" max="7428" width="31.33203125" style="60" customWidth="1"/>
    <col min="7429" max="7429" width="15.08203125" style="60" bestFit="1" customWidth="1"/>
    <col min="7430" max="7430" width="3.08203125" style="60" bestFit="1" customWidth="1"/>
    <col min="7431" max="7431" width="11.33203125" style="60" customWidth="1"/>
    <col min="7432" max="7432" width="22.25" style="60" customWidth="1"/>
    <col min="7433" max="7433" width="21.83203125" style="60" bestFit="1" customWidth="1"/>
    <col min="7434" max="7435" width="3.1640625" style="60" customWidth="1"/>
    <col min="7436" max="7437" width="0" style="60" hidden="1" customWidth="1"/>
    <col min="7438" max="7680" width="8.1640625" style="60"/>
    <col min="7681" max="7681" width="2.6640625" style="60" customWidth="1"/>
    <col min="7682" max="7682" width="19.4140625" style="60" customWidth="1"/>
    <col min="7683" max="7683" width="8.58203125" style="60" customWidth="1"/>
    <col min="7684" max="7684" width="31.33203125" style="60" customWidth="1"/>
    <col min="7685" max="7685" width="15.08203125" style="60" bestFit="1" customWidth="1"/>
    <col min="7686" max="7686" width="3.08203125" style="60" bestFit="1" customWidth="1"/>
    <col min="7687" max="7687" width="11.33203125" style="60" customWidth="1"/>
    <col min="7688" max="7688" width="22.25" style="60" customWidth="1"/>
    <col min="7689" max="7689" width="21.83203125" style="60" bestFit="1" customWidth="1"/>
    <col min="7690" max="7691" width="3.1640625" style="60" customWidth="1"/>
    <col min="7692" max="7693" width="0" style="60" hidden="1" customWidth="1"/>
    <col min="7694" max="7936" width="8.1640625" style="60"/>
    <col min="7937" max="7937" width="2.6640625" style="60" customWidth="1"/>
    <col min="7938" max="7938" width="19.4140625" style="60" customWidth="1"/>
    <col min="7939" max="7939" width="8.58203125" style="60" customWidth="1"/>
    <col min="7940" max="7940" width="31.33203125" style="60" customWidth="1"/>
    <col min="7941" max="7941" width="15.08203125" style="60" bestFit="1" customWidth="1"/>
    <col min="7942" max="7942" width="3.08203125" style="60" bestFit="1" customWidth="1"/>
    <col min="7943" max="7943" width="11.33203125" style="60" customWidth="1"/>
    <col min="7944" max="7944" width="22.25" style="60" customWidth="1"/>
    <col min="7945" max="7945" width="21.83203125" style="60" bestFit="1" customWidth="1"/>
    <col min="7946" max="7947" width="3.1640625" style="60" customWidth="1"/>
    <col min="7948" max="7949" width="0" style="60" hidden="1" customWidth="1"/>
    <col min="7950" max="8192" width="8.1640625" style="60"/>
    <col min="8193" max="8193" width="2.6640625" style="60" customWidth="1"/>
    <col min="8194" max="8194" width="19.4140625" style="60" customWidth="1"/>
    <col min="8195" max="8195" width="8.58203125" style="60" customWidth="1"/>
    <col min="8196" max="8196" width="31.33203125" style="60" customWidth="1"/>
    <col min="8197" max="8197" width="15.08203125" style="60" bestFit="1" customWidth="1"/>
    <col min="8198" max="8198" width="3.08203125" style="60" bestFit="1" customWidth="1"/>
    <col min="8199" max="8199" width="11.33203125" style="60" customWidth="1"/>
    <col min="8200" max="8200" width="22.25" style="60" customWidth="1"/>
    <col min="8201" max="8201" width="21.83203125" style="60" bestFit="1" customWidth="1"/>
    <col min="8202" max="8203" width="3.1640625" style="60" customWidth="1"/>
    <col min="8204" max="8205" width="0" style="60" hidden="1" customWidth="1"/>
    <col min="8206" max="8448" width="8.1640625" style="60"/>
    <col min="8449" max="8449" width="2.6640625" style="60" customWidth="1"/>
    <col min="8450" max="8450" width="19.4140625" style="60" customWidth="1"/>
    <col min="8451" max="8451" width="8.58203125" style="60" customWidth="1"/>
    <col min="8452" max="8452" width="31.33203125" style="60" customWidth="1"/>
    <col min="8453" max="8453" width="15.08203125" style="60" bestFit="1" customWidth="1"/>
    <col min="8454" max="8454" width="3.08203125" style="60" bestFit="1" customWidth="1"/>
    <col min="8455" max="8455" width="11.33203125" style="60" customWidth="1"/>
    <col min="8456" max="8456" width="22.25" style="60" customWidth="1"/>
    <col min="8457" max="8457" width="21.83203125" style="60" bestFit="1" customWidth="1"/>
    <col min="8458" max="8459" width="3.1640625" style="60" customWidth="1"/>
    <col min="8460" max="8461" width="0" style="60" hidden="1" customWidth="1"/>
    <col min="8462" max="8704" width="8.1640625" style="60"/>
    <col min="8705" max="8705" width="2.6640625" style="60" customWidth="1"/>
    <col min="8706" max="8706" width="19.4140625" style="60" customWidth="1"/>
    <col min="8707" max="8707" width="8.58203125" style="60" customWidth="1"/>
    <col min="8708" max="8708" width="31.33203125" style="60" customWidth="1"/>
    <col min="8709" max="8709" width="15.08203125" style="60" bestFit="1" customWidth="1"/>
    <col min="8710" max="8710" width="3.08203125" style="60" bestFit="1" customWidth="1"/>
    <col min="8711" max="8711" width="11.33203125" style="60" customWidth="1"/>
    <col min="8712" max="8712" width="22.25" style="60" customWidth="1"/>
    <col min="8713" max="8713" width="21.83203125" style="60" bestFit="1" customWidth="1"/>
    <col min="8714" max="8715" width="3.1640625" style="60" customWidth="1"/>
    <col min="8716" max="8717" width="0" style="60" hidden="1" customWidth="1"/>
    <col min="8718" max="8960" width="8.1640625" style="60"/>
    <col min="8961" max="8961" width="2.6640625" style="60" customWidth="1"/>
    <col min="8962" max="8962" width="19.4140625" style="60" customWidth="1"/>
    <col min="8963" max="8963" width="8.58203125" style="60" customWidth="1"/>
    <col min="8964" max="8964" width="31.33203125" style="60" customWidth="1"/>
    <col min="8965" max="8965" width="15.08203125" style="60" bestFit="1" customWidth="1"/>
    <col min="8966" max="8966" width="3.08203125" style="60" bestFit="1" customWidth="1"/>
    <col min="8967" max="8967" width="11.33203125" style="60" customWidth="1"/>
    <col min="8968" max="8968" width="22.25" style="60" customWidth="1"/>
    <col min="8969" max="8969" width="21.83203125" style="60" bestFit="1" customWidth="1"/>
    <col min="8970" max="8971" width="3.1640625" style="60" customWidth="1"/>
    <col min="8972" max="8973" width="0" style="60" hidden="1" customWidth="1"/>
    <col min="8974" max="9216" width="8.1640625" style="60"/>
    <col min="9217" max="9217" width="2.6640625" style="60" customWidth="1"/>
    <col min="9218" max="9218" width="19.4140625" style="60" customWidth="1"/>
    <col min="9219" max="9219" width="8.58203125" style="60" customWidth="1"/>
    <col min="9220" max="9220" width="31.33203125" style="60" customWidth="1"/>
    <col min="9221" max="9221" width="15.08203125" style="60" bestFit="1" customWidth="1"/>
    <col min="9222" max="9222" width="3.08203125" style="60" bestFit="1" customWidth="1"/>
    <col min="9223" max="9223" width="11.33203125" style="60" customWidth="1"/>
    <col min="9224" max="9224" width="22.25" style="60" customWidth="1"/>
    <col min="9225" max="9225" width="21.83203125" style="60" bestFit="1" customWidth="1"/>
    <col min="9226" max="9227" width="3.1640625" style="60" customWidth="1"/>
    <col min="9228" max="9229" width="0" style="60" hidden="1" customWidth="1"/>
    <col min="9230" max="9472" width="8.1640625" style="60"/>
    <col min="9473" max="9473" width="2.6640625" style="60" customWidth="1"/>
    <col min="9474" max="9474" width="19.4140625" style="60" customWidth="1"/>
    <col min="9475" max="9475" width="8.58203125" style="60" customWidth="1"/>
    <col min="9476" max="9476" width="31.33203125" style="60" customWidth="1"/>
    <col min="9477" max="9477" width="15.08203125" style="60" bestFit="1" customWidth="1"/>
    <col min="9478" max="9478" width="3.08203125" style="60" bestFit="1" customWidth="1"/>
    <col min="9479" max="9479" width="11.33203125" style="60" customWidth="1"/>
    <col min="9480" max="9480" width="22.25" style="60" customWidth="1"/>
    <col min="9481" max="9481" width="21.83203125" style="60" bestFit="1" customWidth="1"/>
    <col min="9482" max="9483" width="3.1640625" style="60" customWidth="1"/>
    <col min="9484" max="9485" width="0" style="60" hidden="1" customWidth="1"/>
    <col min="9486" max="9728" width="8.1640625" style="60"/>
    <col min="9729" max="9729" width="2.6640625" style="60" customWidth="1"/>
    <col min="9730" max="9730" width="19.4140625" style="60" customWidth="1"/>
    <col min="9731" max="9731" width="8.58203125" style="60" customWidth="1"/>
    <col min="9732" max="9732" width="31.33203125" style="60" customWidth="1"/>
    <col min="9733" max="9733" width="15.08203125" style="60" bestFit="1" customWidth="1"/>
    <col min="9734" max="9734" width="3.08203125" style="60" bestFit="1" customWidth="1"/>
    <col min="9735" max="9735" width="11.33203125" style="60" customWidth="1"/>
    <col min="9736" max="9736" width="22.25" style="60" customWidth="1"/>
    <col min="9737" max="9737" width="21.83203125" style="60" bestFit="1" customWidth="1"/>
    <col min="9738" max="9739" width="3.1640625" style="60" customWidth="1"/>
    <col min="9740" max="9741" width="0" style="60" hidden="1" customWidth="1"/>
    <col min="9742" max="9984" width="8.1640625" style="60"/>
    <col min="9985" max="9985" width="2.6640625" style="60" customWidth="1"/>
    <col min="9986" max="9986" width="19.4140625" style="60" customWidth="1"/>
    <col min="9987" max="9987" width="8.58203125" style="60" customWidth="1"/>
    <col min="9988" max="9988" width="31.33203125" style="60" customWidth="1"/>
    <col min="9989" max="9989" width="15.08203125" style="60" bestFit="1" customWidth="1"/>
    <col min="9990" max="9990" width="3.08203125" style="60" bestFit="1" customWidth="1"/>
    <col min="9991" max="9991" width="11.33203125" style="60" customWidth="1"/>
    <col min="9992" max="9992" width="22.25" style="60" customWidth="1"/>
    <col min="9993" max="9993" width="21.83203125" style="60" bestFit="1" customWidth="1"/>
    <col min="9994" max="9995" width="3.1640625" style="60" customWidth="1"/>
    <col min="9996" max="9997" width="0" style="60" hidden="1" customWidth="1"/>
    <col min="9998" max="10240" width="8.1640625" style="60"/>
    <col min="10241" max="10241" width="2.6640625" style="60" customWidth="1"/>
    <col min="10242" max="10242" width="19.4140625" style="60" customWidth="1"/>
    <col min="10243" max="10243" width="8.58203125" style="60" customWidth="1"/>
    <col min="10244" max="10244" width="31.33203125" style="60" customWidth="1"/>
    <col min="10245" max="10245" width="15.08203125" style="60" bestFit="1" customWidth="1"/>
    <col min="10246" max="10246" width="3.08203125" style="60" bestFit="1" customWidth="1"/>
    <col min="10247" max="10247" width="11.33203125" style="60" customWidth="1"/>
    <col min="10248" max="10248" width="22.25" style="60" customWidth="1"/>
    <col min="10249" max="10249" width="21.83203125" style="60" bestFit="1" customWidth="1"/>
    <col min="10250" max="10251" width="3.1640625" style="60" customWidth="1"/>
    <col min="10252" max="10253" width="0" style="60" hidden="1" customWidth="1"/>
    <col min="10254" max="10496" width="8.1640625" style="60"/>
    <col min="10497" max="10497" width="2.6640625" style="60" customWidth="1"/>
    <col min="10498" max="10498" width="19.4140625" style="60" customWidth="1"/>
    <col min="10499" max="10499" width="8.58203125" style="60" customWidth="1"/>
    <col min="10500" max="10500" width="31.33203125" style="60" customWidth="1"/>
    <col min="10501" max="10501" width="15.08203125" style="60" bestFit="1" customWidth="1"/>
    <col min="10502" max="10502" width="3.08203125" style="60" bestFit="1" customWidth="1"/>
    <col min="10503" max="10503" width="11.33203125" style="60" customWidth="1"/>
    <col min="10504" max="10504" width="22.25" style="60" customWidth="1"/>
    <col min="10505" max="10505" width="21.83203125" style="60" bestFit="1" customWidth="1"/>
    <col min="10506" max="10507" width="3.1640625" style="60" customWidth="1"/>
    <col min="10508" max="10509" width="0" style="60" hidden="1" customWidth="1"/>
    <col min="10510" max="10752" width="8.1640625" style="60"/>
    <col min="10753" max="10753" width="2.6640625" style="60" customWidth="1"/>
    <col min="10754" max="10754" width="19.4140625" style="60" customWidth="1"/>
    <col min="10755" max="10755" width="8.58203125" style="60" customWidth="1"/>
    <col min="10756" max="10756" width="31.33203125" style="60" customWidth="1"/>
    <col min="10757" max="10757" width="15.08203125" style="60" bestFit="1" customWidth="1"/>
    <col min="10758" max="10758" width="3.08203125" style="60" bestFit="1" customWidth="1"/>
    <col min="10759" max="10759" width="11.33203125" style="60" customWidth="1"/>
    <col min="10760" max="10760" width="22.25" style="60" customWidth="1"/>
    <col min="10761" max="10761" width="21.83203125" style="60" bestFit="1" customWidth="1"/>
    <col min="10762" max="10763" width="3.1640625" style="60" customWidth="1"/>
    <col min="10764" max="10765" width="0" style="60" hidden="1" customWidth="1"/>
    <col min="10766" max="11008" width="8.1640625" style="60"/>
    <col min="11009" max="11009" width="2.6640625" style="60" customWidth="1"/>
    <col min="11010" max="11010" width="19.4140625" style="60" customWidth="1"/>
    <col min="11011" max="11011" width="8.58203125" style="60" customWidth="1"/>
    <col min="11012" max="11012" width="31.33203125" style="60" customWidth="1"/>
    <col min="11013" max="11013" width="15.08203125" style="60" bestFit="1" customWidth="1"/>
    <col min="11014" max="11014" width="3.08203125" style="60" bestFit="1" customWidth="1"/>
    <col min="11015" max="11015" width="11.33203125" style="60" customWidth="1"/>
    <col min="11016" max="11016" width="22.25" style="60" customWidth="1"/>
    <col min="11017" max="11017" width="21.83203125" style="60" bestFit="1" customWidth="1"/>
    <col min="11018" max="11019" width="3.1640625" style="60" customWidth="1"/>
    <col min="11020" max="11021" width="0" style="60" hidden="1" customWidth="1"/>
    <col min="11022" max="11264" width="8.1640625" style="60"/>
    <col min="11265" max="11265" width="2.6640625" style="60" customWidth="1"/>
    <col min="11266" max="11266" width="19.4140625" style="60" customWidth="1"/>
    <col min="11267" max="11267" width="8.58203125" style="60" customWidth="1"/>
    <col min="11268" max="11268" width="31.33203125" style="60" customWidth="1"/>
    <col min="11269" max="11269" width="15.08203125" style="60" bestFit="1" customWidth="1"/>
    <col min="11270" max="11270" width="3.08203125" style="60" bestFit="1" customWidth="1"/>
    <col min="11271" max="11271" width="11.33203125" style="60" customWidth="1"/>
    <col min="11272" max="11272" width="22.25" style="60" customWidth="1"/>
    <col min="11273" max="11273" width="21.83203125" style="60" bestFit="1" customWidth="1"/>
    <col min="11274" max="11275" width="3.1640625" style="60" customWidth="1"/>
    <col min="11276" max="11277" width="0" style="60" hidden="1" customWidth="1"/>
    <col min="11278" max="11520" width="8.1640625" style="60"/>
    <col min="11521" max="11521" width="2.6640625" style="60" customWidth="1"/>
    <col min="11522" max="11522" width="19.4140625" style="60" customWidth="1"/>
    <col min="11523" max="11523" width="8.58203125" style="60" customWidth="1"/>
    <col min="11524" max="11524" width="31.33203125" style="60" customWidth="1"/>
    <col min="11525" max="11525" width="15.08203125" style="60" bestFit="1" customWidth="1"/>
    <col min="11526" max="11526" width="3.08203125" style="60" bestFit="1" customWidth="1"/>
    <col min="11527" max="11527" width="11.33203125" style="60" customWidth="1"/>
    <col min="11528" max="11528" width="22.25" style="60" customWidth="1"/>
    <col min="11529" max="11529" width="21.83203125" style="60" bestFit="1" customWidth="1"/>
    <col min="11530" max="11531" width="3.1640625" style="60" customWidth="1"/>
    <col min="11532" max="11533" width="0" style="60" hidden="1" customWidth="1"/>
    <col min="11534" max="11776" width="8.1640625" style="60"/>
    <col min="11777" max="11777" width="2.6640625" style="60" customWidth="1"/>
    <col min="11778" max="11778" width="19.4140625" style="60" customWidth="1"/>
    <col min="11779" max="11779" width="8.58203125" style="60" customWidth="1"/>
    <col min="11780" max="11780" width="31.33203125" style="60" customWidth="1"/>
    <col min="11781" max="11781" width="15.08203125" style="60" bestFit="1" customWidth="1"/>
    <col min="11782" max="11782" width="3.08203125" style="60" bestFit="1" customWidth="1"/>
    <col min="11783" max="11783" width="11.33203125" style="60" customWidth="1"/>
    <col min="11784" max="11784" width="22.25" style="60" customWidth="1"/>
    <col min="11785" max="11785" width="21.83203125" style="60" bestFit="1" customWidth="1"/>
    <col min="11786" max="11787" width="3.1640625" style="60" customWidth="1"/>
    <col min="11788" max="11789" width="0" style="60" hidden="1" customWidth="1"/>
    <col min="11790" max="12032" width="8.1640625" style="60"/>
    <col min="12033" max="12033" width="2.6640625" style="60" customWidth="1"/>
    <col min="12034" max="12034" width="19.4140625" style="60" customWidth="1"/>
    <col min="12035" max="12035" width="8.58203125" style="60" customWidth="1"/>
    <col min="12036" max="12036" width="31.33203125" style="60" customWidth="1"/>
    <col min="12037" max="12037" width="15.08203125" style="60" bestFit="1" customWidth="1"/>
    <col min="12038" max="12038" width="3.08203125" style="60" bestFit="1" customWidth="1"/>
    <col min="12039" max="12039" width="11.33203125" style="60" customWidth="1"/>
    <col min="12040" max="12040" width="22.25" style="60" customWidth="1"/>
    <col min="12041" max="12041" width="21.83203125" style="60" bestFit="1" customWidth="1"/>
    <col min="12042" max="12043" width="3.1640625" style="60" customWidth="1"/>
    <col min="12044" max="12045" width="0" style="60" hidden="1" customWidth="1"/>
    <col min="12046" max="12288" width="8.1640625" style="60"/>
    <col min="12289" max="12289" width="2.6640625" style="60" customWidth="1"/>
    <col min="12290" max="12290" width="19.4140625" style="60" customWidth="1"/>
    <col min="12291" max="12291" width="8.58203125" style="60" customWidth="1"/>
    <col min="12292" max="12292" width="31.33203125" style="60" customWidth="1"/>
    <col min="12293" max="12293" width="15.08203125" style="60" bestFit="1" customWidth="1"/>
    <col min="12294" max="12294" width="3.08203125" style="60" bestFit="1" customWidth="1"/>
    <col min="12295" max="12295" width="11.33203125" style="60" customWidth="1"/>
    <col min="12296" max="12296" width="22.25" style="60" customWidth="1"/>
    <col min="12297" max="12297" width="21.83203125" style="60" bestFit="1" customWidth="1"/>
    <col min="12298" max="12299" width="3.1640625" style="60" customWidth="1"/>
    <col min="12300" max="12301" width="0" style="60" hidden="1" customWidth="1"/>
    <col min="12302" max="12544" width="8.1640625" style="60"/>
    <col min="12545" max="12545" width="2.6640625" style="60" customWidth="1"/>
    <col min="12546" max="12546" width="19.4140625" style="60" customWidth="1"/>
    <col min="12547" max="12547" width="8.58203125" style="60" customWidth="1"/>
    <col min="12548" max="12548" width="31.33203125" style="60" customWidth="1"/>
    <col min="12549" max="12549" width="15.08203125" style="60" bestFit="1" customWidth="1"/>
    <col min="12550" max="12550" width="3.08203125" style="60" bestFit="1" customWidth="1"/>
    <col min="12551" max="12551" width="11.33203125" style="60" customWidth="1"/>
    <col min="12552" max="12552" width="22.25" style="60" customWidth="1"/>
    <col min="12553" max="12553" width="21.83203125" style="60" bestFit="1" customWidth="1"/>
    <col min="12554" max="12555" width="3.1640625" style="60" customWidth="1"/>
    <col min="12556" max="12557" width="0" style="60" hidden="1" customWidth="1"/>
    <col min="12558" max="12800" width="8.1640625" style="60"/>
    <col min="12801" max="12801" width="2.6640625" style="60" customWidth="1"/>
    <col min="12802" max="12802" width="19.4140625" style="60" customWidth="1"/>
    <col min="12803" max="12803" width="8.58203125" style="60" customWidth="1"/>
    <col min="12804" max="12804" width="31.33203125" style="60" customWidth="1"/>
    <col min="12805" max="12805" width="15.08203125" style="60" bestFit="1" customWidth="1"/>
    <col min="12806" max="12806" width="3.08203125" style="60" bestFit="1" customWidth="1"/>
    <col min="12807" max="12807" width="11.33203125" style="60" customWidth="1"/>
    <col min="12808" max="12808" width="22.25" style="60" customWidth="1"/>
    <col min="12809" max="12809" width="21.83203125" style="60" bestFit="1" customWidth="1"/>
    <col min="12810" max="12811" width="3.1640625" style="60" customWidth="1"/>
    <col min="12812" max="12813" width="0" style="60" hidden="1" customWidth="1"/>
    <col min="12814" max="13056" width="8.1640625" style="60"/>
    <col min="13057" max="13057" width="2.6640625" style="60" customWidth="1"/>
    <col min="13058" max="13058" width="19.4140625" style="60" customWidth="1"/>
    <col min="13059" max="13059" width="8.58203125" style="60" customWidth="1"/>
    <col min="13060" max="13060" width="31.33203125" style="60" customWidth="1"/>
    <col min="13061" max="13061" width="15.08203125" style="60" bestFit="1" customWidth="1"/>
    <col min="13062" max="13062" width="3.08203125" style="60" bestFit="1" customWidth="1"/>
    <col min="13063" max="13063" width="11.33203125" style="60" customWidth="1"/>
    <col min="13064" max="13064" width="22.25" style="60" customWidth="1"/>
    <col min="13065" max="13065" width="21.83203125" style="60" bestFit="1" customWidth="1"/>
    <col min="13066" max="13067" width="3.1640625" style="60" customWidth="1"/>
    <col min="13068" max="13069" width="0" style="60" hidden="1" customWidth="1"/>
    <col min="13070" max="13312" width="8.1640625" style="60"/>
    <col min="13313" max="13313" width="2.6640625" style="60" customWidth="1"/>
    <col min="13314" max="13314" width="19.4140625" style="60" customWidth="1"/>
    <col min="13315" max="13315" width="8.58203125" style="60" customWidth="1"/>
    <col min="13316" max="13316" width="31.33203125" style="60" customWidth="1"/>
    <col min="13317" max="13317" width="15.08203125" style="60" bestFit="1" customWidth="1"/>
    <col min="13318" max="13318" width="3.08203125" style="60" bestFit="1" customWidth="1"/>
    <col min="13319" max="13319" width="11.33203125" style="60" customWidth="1"/>
    <col min="13320" max="13320" width="22.25" style="60" customWidth="1"/>
    <col min="13321" max="13321" width="21.83203125" style="60" bestFit="1" customWidth="1"/>
    <col min="13322" max="13323" width="3.1640625" style="60" customWidth="1"/>
    <col min="13324" max="13325" width="0" style="60" hidden="1" customWidth="1"/>
    <col min="13326" max="13568" width="8.1640625" style="60"/>
    <col min="13569" max="13569" width="2.6640625" style="60" customWidth="1"/>
    <col min="13570" max="13570" width="19.4140625" style="60" customWidth="1"/>
    <col min="13571" max="13571" width="8.58203125" style="60" customWidth="1"/>
    <col min="13572" max="13572" width="31.33203125" style="60" customWidth="1"/>
    <col min="13573" max="13573" width="15.08203125" style="60" bestFit="1" customWidth="1"/>
    <col min="13574" max="13574" width="3.08203125" style="60" bestFit="1" customWidth="1"/>
    <col min="13575" max="13575" width="11.33203125" style="60" customWidth="1"/>
    <col min="13576" max="13576" width="22.25" style="60" customWidth="1"/>
    <col min="13577" max="13577" width="21.83203125" style="60" bestFit="1" customWidth="1"/>
    <col min="13578" max="13579" width="3.1640625" style="60" customWidth="1"/>
    <col min="13580" max="13581" width="0" style="60" hidden="1" customWidth="1"/>
    <col min="13582" max="13824" width="8.1640625" style="60"/>
    <col min="13825" max="13825" width="2.6640625" style="60" customWidth="1"/>
    <col min="13826" max="13826" width="19.4140625" style="60" customWidth="1"/>
    <col min="13827" max="13827" width="8.58203125" style="60" customWidth="1"/>
    <col min="13828" max="13828" width="31.33203125" style="60" customWidth="1"/>
    <col min="13829" max="13829" width="15.08203125" style="60" bestFit="1" customWidth="1"/>
    <col min="13830" max="13830" width="3.08203125" style="60" bestFit="1" customWidth="1"/>
    <col min="13831" max="13831" width="11.33203125" style="60" customWidth="1"/>
    <col min="13832" max="13832" width="22.25" style="60" customWidth="1"/>
    <col min="13833" max="13833" width="21.83203125" style="60" bestFit="1" customWidth="1"/>
    <col min="13834" max="13835" width="3.1640625" style="60" customWidth="1"/>
    <col min="13836" max="13837" width="0" style="60" hidden="1" customWidth="1"/>
    <col min="13838" max="14080" width="8.1640625" style="60"/>
    <col min="14081" max="14081" width="2.6640625" style="60" customWidth="1"/>
    <col min="14082" max="14082" width="19.4140625" style="60" customWidth="1"/>
    <col min="14083" max="14083" width="8.58203125" style="60" customWidth="1"/>
    <col min="14084" max="14084" width="31.33203125" style="60" customWidth="1"/>
    <col min="14085" max="14085" width="15.08203125" style="60" bestFit="1" customWidth="1"/>
    <col min="14086" max="14086" width="3.08203125" style="60" bestFit="1" customWidth="1"/>
    <col min="14087" max="14087" width="11.33203125" style="60" customWidth="1"/>
    <col min="14088" max="14088" width="22.25" style="60" customWidth="1"/>
    <col min="14089" max="14089" width="21.83203125" style="60" bestFit="1" customWidth="1"/>
    <col min="14090" max="14091" width="3.1640625" style="60" customWidth="1"/>
    <col min="14092" max="14093" width="0" style="60" hidden="1" customWidth="1"/>
    <col min="14094" max="14336" width="8.1640625" style="60"/>
    <col min="14337" max="14337" width="2.6640625" style="60" customWidth="1"/>
    <col min="14338" max="14338" width="19.4140625" style="60" customWidth="1"/>
    <col min="14339" max="14339" width="8.58203125" style="60" customWidth="1"/>
    <col min="14340" max="14340" width="31.33203125" style="60" customWidth="1"/>
    <col min="14341" max="14341" width="15.08203125" style="60" bestFit="1" customWidth="1"/>
    <col min="14342" max="14342" width="3.08203125" style="60" bestFit="1" customWidth="1"/>
    <col min="14343" max="14343" width="11.33203125" style="60" customWidth="1"/>
    <col min="14344" max="14344" width="22.25" style="60" customWidth="1"/>
    <col min="14345" max="14345" width="21.83203125" style="60" bestFit="1" customWidth="1"/>
    <col min="14346" max="14347" width="3.1640625" style="60" customWidth="1"/>
    <col min="14348" max="14349" width="0" style="60" hidden="1" customWidth="1"/>
    <col min="14350" max="14592" width="8.1640625" style="60"/>
    <col min="14593" max="14593" width="2.6640625" style="60" customWidth="1"/>
    <col min="14594" max="14594" width="19.4140625" style="60" customWidth="1"/>
    <col min="14595" max="14595" width="8.58203125" style="60" customWidth="1"/>
    <col min="14596" max="14596" width="31.33203125" style="60" customWidth="1"/>
    <col min="14597" max="14597" width="15.08203125" style="60" bestFit="1" customWidth="1"/>
    <col min="14598" max="14598" width="3.08203125" style="60" bestFit="1" customWidth="1"/>
    <col min="14599" max="14599" width="11.33203125" style="60" customWidth="1"/>
    <col min="14600" max="14600" width="22.25" style="60" customWidth="1"/>
    <col min="14601" max="14601" width="21.83203125" style="60" bestFit="1" customWidth="1"/>
    <col min="14602" max="14603" width="3.1640625" style="60" customWidth="1"/>
    <col min="14604" max="14605" width="0" style="60" hidden="1" customWidth="1"/>
    <col min="14606" max="14848" width="8.1640625" style="60"/>
    <col min="14849" max="14849" width="2.6640625" style="60" customWidth="1"/>
    <col min="14850" max="14850" width="19.4140625" style="60" customWidth="1"/>
    <col min="14851" max="14851" width="8.58203125" style="60" customWidth="1"/>
    <col min="14852" max="14852" width="31.33203125" style="60" customWidth="1"/>
    <col min="14853" max="14853" width="15.08203125" style="60" bestFit="1" customWidth="1"/>
    <col min="14854" max="14854" width="3.08203125" style="60" bestFit="1" customWidth="1"/>
    <col min="14855" max="14855" width="11.33203125" style="60" customWidth="1"/>
    <col min="14856" max="14856" width="22.25" style="60" customWidth="1"/>
    <col min="14857" max="14857" width="21.83203125" style="60" bestFit="1" customWidth="1"/>
    <col min="14858" max="14859" width="3.1640625" style="60" customWidth="1"/>
    <col min="14860" max="14861" width="0" style="60" hidden="1" customWidth="1"/>
    <col min="14862" max="15104" width="8.1640625" style="60"/>
    <col min="15105" max="15105" width="2.6640625" style="60" customWidth="1"/>
    <col min="15106" max="15106" width="19.4140625" style="60" customWidth="1"/>
    <col min="15107" max="15107" width="8.58203125" style="60" customWidth="1"/>
    <col min="15108" max="15108" width="31.33203125" style="60" customWidth="1"/>
    <col min="15109" max="15109" width="15.08203125" style="60" bestFit="1" customWidth="1"/>
    <col min="15110" max="15110" width="3.08203125" style="60" bestFit="1" customWidth="1"/>
    <col min="15111" max="15111" width="11.33203125" style="60" customWidth="1"/>
    <col min="15112" max="15112" width="22.25" style="60" customWidth="1"/>
    <col min="15113" max="15113" width="21.83203125" style="60" bestFit="1" customWidth="1"/>
    <col min="15114" max="15115" width="3.1640625" style="60" customWidth="1"/>
    <col min="15116" max="15117" width="0" style="60" hidden="1" customWidth="1"/>
    <col min="15118" max="15360" width="8.1640625" style="60"/>
    <col min="15361" max="15361" width="2.6640625" style="60" customWidth="1"/>
    <col min="15362" max="15362" width="19.4140625" style="60" customWidth="1"/>
    <col min="15363" max="15363" width="8.58203125" style="60" customWidth="1"/>
    <col min="15364" max="15364" width="31.33203125" style="60" customWidth="1"/>
    <col min="15365" max="15365" width="15.08203125" style="60" bestFit="1" customWidth="1"/>
    <col min="15366" max="15366" width="3.08203125" style="60" bestFit="1" customWidth="1"/>
    <col min="15367" max="15367" width="11.33203125" style="60" customWidth="1"/>
    <col min="15368" max="15368" width="22.25" style="60" customWidth="1"/>
    <col min="15369" max="15369" width="21.83203125" style="60" bestFit="1" customWidth="1"/>
    <col min="15370" max="15371" width="3.1640625" style="60" customWidth="1"/>
    <col min="15372" max="15373" width="0" style="60" hidden="1" customWidth="1"/>
    <col min="15374" max="15616" width="8.1640625" style="60"/>
    <col min="15617" max="15617" width="2.6640625" style="60" customWidth="1"/>
    <col min="15618" max="15618" width="19.4140625" style="60" customWidth="1"/>
    <col min="15619" max="15619" width="8.58203125" style="60" customWidth="1"/>
    <col min="15620" max="15620" width="31.33203125" style="60" customWidth="1"/>
    <col min="15621" max="15621" width="15.08203125" style="60" bestFit="1" customWidth="1"/>
    <col min="15622" max="15622" width="3.08203125" style="60" bestFit="1" customWidth="1"/>
    <col min="15623" max="15623" width="11.33203125" style="60" customWidth="1"/>
    <col min="15624" max="15624" width="22.25" style="60" customWidth="1"/>
    <col min="15625" max="15625" width="21.83203125" style="60" bestFit="1" customWidth="1"/>
    <col min="15626" max="15627" width="3.1640625" style="60" customWidth="1"/>
    <col min="15628" max="15629" width="0" style="60" hidden="1" customWidth="1"/>
    <col min="15630" max="15872" width="8.1640625" style="60"/>
    <col min="15873" max="15873" width="2.6640625" style="60" customWidth="1"/>
    <col min="15874" max="15874" width="19.4140625" style="60" customWidth="1"/>
    <col min="15875" max="15875" width="8.58203125" style="60" customWidth="1"/>
    <col min="15876" max="15876" width="31.33203125" style="60" customWidth="1"/>
    <col min="15877" max="15877" width="15.08203125" style="60" bestFit="1" customWidth="1"/>
    <col min="15878" max="15878" width="3.08203125" style="60" bestFit="1" customWidth="1"/>
    <col min="15879" max="15879" width="11.33203125" style="60" customWidth="1"/>
    <col min="15880" max="15880" width="22.25" style="60" customWidth="1"/>
    <col min="15881" max="15881" width="21.83203125" style="60" bestFit="1" customWidth="1"/>
    <col min="15882" max="15883" width="3.1640625" style="60" customWidth="1"/>
    <col min="15884" max="15885" width="0" style="60" hidden="1" customWidth="1"/>
    <col min="15886" max="16128" width="8.1640625" style="60"/>
    <col min="16129" max="16129" width="2.6640625" style="60" customWidth="1"/>
    <col min="16130" max="16130" width="19.4140625" style="60" customWidth="1"/>
    <col min="16131" max="16131" width="8.58203125" style="60" customWidth="1"/>
    <col min="16132" max="16132" width="31.33203125" style="60" customWidth="1"/>
    <col min="16133" max="16133" width="15.08203125" style="60" bestFit="1" customWidth="1"/>
    <col min="16134" max="16134" width="3.08203125" style="60" bestFit="1" customWidth="1"/>
    <col min="16135" max="16135" width="11.33203125" style="60" customWidth="1"/>
    <col min="16136" max="16136" width="22.25" style="60" customWidth="1"/>
    <col min="16137" max="16137" width="21.83203125" style="60" bestFit="1" customWidth="1"/>
    <col min="16138" max="16139" width="3.1640625" style="60" customWidth="1"/>
    <col min="16140" max="16141" width="0" style="60" hidden="1" customWidth="1"/>
    <col min="16142" max="16384" width="8.1640625" style="60"/>
  </cols>
  <sheetData>
    <row r="1" spans="1:13" s="54" customFormat="1" ht="42.75" customHeight="1" x14ac:dyDescent="0.2">
      <c r="A1" s="104" t="s">
        <v>0</v>
      </c>
      <c r="B1" s="48" t="s">
        <v>1</v>
      </c>
      <c r="C1" s="48" t="s">
        <v>14</v>
      </c>
      <c r="D1" s="48" t="s">
        <v>5</v>
      </c>
      <c r="E1" s="49" t="s">
        <v>9</v>
      </c>
      <c r="F1" s="50"/>
      <c r="G1" s="48" t="s">
        <v>2</v>
      </c>
      <c r="H1" s="51" t="s">
        <v>6</v>
      </c>
      <c r="I1" s="48" t="s">
        <v>7</v>
      </c>
      <c r="J1" s="52" t="s">
        <v>3</v>
      </c>
      <c r="K1" s="53" t="s">
        <v>4</v>
      </c>
    </row>
    <row r="2" spans="1:13" ht="47.25" customHeight="1" x14ac:dyDescent="0.2">
      <c r="A2" s="105">
        <v>1</v>
      </c>
      <c r="B2" s="57" t="str">
        <f>DataSheet!B8</f>
        <v>パルティール債権回収株式会社　代理人弁護士法人引田法律事務所　弁護士　引田紀之</v>
      </c>
      <c r="C2" s="97" t="str">
        <f>DataSheet!D8</f>
        <v>１０３－００１６</v>
      </c>
      <c r="D2" s="97" t="str">
        <f>DataSheet!E8</f>
        <v>東京都中央区日本橋小網町６－７　第２山万ビル３階</v>
      </c>
      <c r="E2" s="98">
        <f>DataSheet!K8</f>
        <v>452053</v>
      </c>
      <c r="F2" s="55" t="s">
        <v>66</v>
      </c>
      <c r="G2" s="56" t="str">
        <f>TEXT(DataSheet!N8,"[$-411]ge.m.d")&amp;"～"&amp;CHAR(10)&amp;TEXT(DataSheet!O8,"[$-411]ge.m.d")</f>
        <v>H30.2.28～
H30.3.20</v>
      </c>
      <c r="H2" s="57" t="str">
        <f>DataSheet!P8&amp;"住宅ローン"&amp;DataSheet!R8&amp;"購入"&amp;DataSheet!S8&amp;"生活費　"&amp;DataSheet!T8&amp;"返済　"&amp;DataSheet!U8&amp;"飲食交際遊興費　"&amp;DataSheet!Q8&amp;"保証　"&amp;DataSheet!V8&amp;"その他"</f>
        <v>□住宅ローン☑購入☑生活費　□返済　□飲食交際遊興費　□保証　□その他</v>
      </c>
      <c r="I2" s="57" t="str">
        <f>DataSheet!W8</f>
        <v>原債権者楽天カード株式会社債権譲渡　大阪簡裁令和５年（ハ）第８０１５４号確定判決</v>
      </c>
      <c r="J2" s="58" t="str">
        <f>DataSheet!X8&amp;"有"</f>
        <v>☑有</v>
      </c>
      <c r="K2" s="59" t="str">
        <f>DataSheet!Y8&amp;"有"</f>
        <v>□有</v>
      </c>
      <c r="L2" s="58" t="e">
        <v>#REF!</v>
      </c>
      <c r="M2" s="58" t="e">
        <v>#REF!</v>
      </c>
    </row>
    <row r="3" spans="1:13" ht="47.25" customHeight="1" x14ac:dyDescent="0.2">
      <c r="A3" s="105">
        <v>2</v>
      </c>
      <c r="B3" s="97" t="str">
        <f>DataSheet!B9</f>
        <v>ＧＭＯペイメントサービス株式会社　管理課</v>
      </c>
      <c r="C3" s="97" t="str">
        <f>DataSheet!D9</f>
        <v>１５０－００４３</v>
      </c>
      <c r="D3" s="97" t="str">
        <f>DataSheet!E9</f>
        <v>東京都渋谷区道玄坂１－１４－６　ヒューマックス渋谷ビル</v>
      </c>
      <c r="E3" s="98">
        <f>DataSheet!K9</f>
        <v>52996</v>
      </c>
      <c r="F3" s="55" t="s">
        <v>66</v>
      </c>
      <c r="G3" s="56" t="str">
        <f>TEXT(DataSheet!N9,"[$-411]ge.m.d")&amp;"～"&amp;CHAR(10)&amp;TEXT(DataSheet!O9,"[$-411]ge.m.d")</f>
        <v>R1.8.25～
R1.8.28</v>
      </c>
      <c r="H3" s="57" t="str">
        <f>DataSheet!P9&amp;"住宅ローン"&amp;DataSheet!R9&amp;"購入"&amp;DataSheet!S9&amp;"生活費　"&amp;DataSheet!T9&amp;"返済　"&amp;DataSheet!U9&amp;"飲食交際遊興費　"&amp;DataSheet!Q9&amp;"保証　"&amp;DataSheet!V9&amp;"その他"</f>
        <v>□住宅ローン☑購入□生活費　□返済　□飲食交際遊興費　□保証　□その他</v>
      </c>
      <c r="I3" s="57" t="str">
        <f>DataSheet!W9</f>
        <v>服</v>
      </c>
      <c r="J3" s="58" t="str">
        <f>DataSheet!X9&amp;"有"</f>
        <v>☑有</v>
      </c>
      <c r="K3" s="59" t="str">
        <f>DataSheet!Y9&amp;"有"</f>
        <v>□有</v>
      </c>
      <c r="L3" s="61" t="b">
        <f t="shared" ref="L3:L7" si="0">IF(H3="■",F2)</f>
        <v>0</v>
      </c>
      <c r="M3" s="61" t="e">
        <f>IF(#REF!="■",G2)</f>
        <v>#REF!</v>
      </c>
    </row>
    <row r="4" spans="1:13" ht="47.25" customHeight="1" x14ac:dyDescent="0.2">
      <c r="A4" s="105">
        <v>3</v>
      </c>
      <c r="B4" s="57" t="str">
        <f>DataSheet!B10</f>
        <v>株式会社メルペイ　代理人ＮＴＳ総合弁護士法人　福岡事務所　メルペイ担当</v>
      </c>
      <c r="C4" s="97" t="str">
        <f>DataSheet!D10</f>
        <v>８１２－００３９</v>
      </c>
      <c r="D4" s="97" t="str">
        <f>DataSheet!E10</f>
        <v>福岡県福岡市博多区冷泉町５－２３　オーシャン博多ビル６階</v>
      </c>
      <c r="E4" s="98">
        <f>DataSheet!K10</f>
        <v>294524</v>
      </c>
      <c r="F4" s="55" t="s">
        <v>66</v>
      </c>
      <c r="G4" s="56" t="str">
        <f>TEXT(DataSheet!N10,"[$-411]ge.m.d")&amp;"～"&amp;CHAR(10)&amp;TEXT(DataSheet!O10,"[$-411]ge.m.d")</f>
        <v>R3.6.25～
R4.5.1</v>
      </c>
      <c r="H4" s="57" t="str">
        <f>DataSheet!P10&amp;"住宅ローン"&amp;DataSheet!R10&amp;"購入"&amp;DataSheet!S10&amp;"生活費　"&amp;DataSheet!T10&amp;"返済　"&amp;DataSheet!U10&amp;"飲食交際遊興費　"&amp;DataSheet!Q10&amp;"保証　"&amp;DataSheet!V10&amp;"その他"</f>
        <v>□住宅ローン☑購入□生活費　□返済　□飲食交際遊興費　□保証　□その他</v>
      </c>
      <c r="I4" s="57" t="str">
        <f>DataSheet!W10</f>
        <v>　</v>
      </c>
      <c r="J4" s="58" t="str">
        <f>DataSheet!X10&amp;"有"</f>
        <v>☑有</v>
      </c>
      <c r="K4" s="59" t="str">
        <f>DataSheet!Y10&amp;"有"</f>
        <v>□有</v>
      </c>
      <c r="L4" s="61" t="b">
        <f t="shared" si="0"/>
        <v>0</v>
      </c>
      <c r="M4" s="61" t="e">
        <f>IF(#REF!="■",G3)</f>
        <v>#REF!</v>
      </c>
    </row>
    <row r="5" spans="1:13" ht="47.25" customHeight="1" x14ac:dyDescent="0.2">
      <c r="A5" s="105">
        <v>4</v>
      </c>
      <c r="B5" s="97" t="str">
        <f>DataSheet!B11</f>
        <v>株式会社Ｐａｉｄｙ　Collection team</v>
      </c>
      <c r="C5" s="97" t="str">
        <f>DataSheet!D11</f>
        <v>１０７－６２１２</v>
      </c>
      <c r="D5" s="97" t="str">
        <f>DataSheet!E11</f>
        <v>東京都港区赤坂９－７－１　ミッドタウンタワー１２階</v>
      </c>
      <c r="E5" s="98">
        <f>DataSheet!K11</f>
        <v>11420</v>
      </c>
      <c r="F5" s="55" t="s">
        <v>66</v>
      </c>
      <c r="G5" s="56" t="str">
        <f>TEXT(DataSheet!N11,"[$-411]ge.m.d")&amp;"～"&amp;CHAR(10)&amp;TEXT(DataSheet!O11,"[$-411]ge.m.d")</f>
        <v xml:space="preserve">R4.1.28～
H/R . . </v>
      </c>
      <c r="H5" s="57" t="str">
        <f>DataSheet!P11&amp;"住宅ローン"&amp;DataSheet!R11&amp;"購入"&amp;DataSheet!S11&amp;"生活費　"&amp;DataSheet!T11&amp;"返済　"&amp;DataSheet!U11&amp;"飲食交際遊興費　"&amp;DataSheet!Q11&amp;"保証　"&amp;DataSheet!V11&amp;"その他"</f>
        <v>□住宅ローン☑購入□生活費　□返済　□飲食交際遊興費　□保証　□その他</v>
      </c>
      <c r="I5" s="57" t="str">
        <f>DataSheet!W11</f>
        <v>服</v>
      </c>
      <c r="J5" s="58" t="str">
        <f>DataSheet!X11&amp;"有"</f>
        <v>☑有</v>
      </c>
      <c r="K5" s="59" t="str">
        <f>DataSheet!Y11&amp;"有"</f>
        <v>□有</v>
      </c>
      <c r="L5" s="61" t="b">
        <f t="shared" si="0"/>
        <v>0</v>
      </c>
      <c r="M5" s="61" t="e">
        <f>IF(#REF!="■",G4)</f>
        <v>#REF!</v>
      </c>
    </row>
    <row r="6" spans="1:13" ht="47.25" customHeight="1" x14ac:dyDescent="0.2">
      <c r="A6" s="105">
        <v>5</v>
      </c>
      <c r="B6" s="57" t="str">
        <f>DataSheet!B12</f>
        <v>株式会社ネットプロテクションズ　BtoCサービス&amp;プロダクトグループ</v>
      </c>
      <c r="C6" s="97" t="str">
        <f>DataSheet!D12</f>
        <v>１０２－００８３</v>
      </c>
      <c r="D6" s="97" t="str">
        <f>DataSheet!E12</f>
        <v>東京都千代田区麹町４－２－６　住友不動産麹町ファーストビル５階</v>
      </c>
      <c r="E6" s="98">
        <f>DataSheet!K12</f>
        <v>35359</v>
      </c>
      <c r="F6" s="55" t="s">
        <v>66</v>
      </c>
      <c r="G6" s="56" t="str">
        <f>TEXT(DataSheet!N12,"[$-411]ge.m.d")&amp;"～"&amp;CHAR(10)&amp;TEXT(DataSheet!O12,"[$-411]ge.m.d")</f>
        <v>R4.1.29～
R4.1.29</v>
      </c>
      <c r="H6" s="57" t="str">
        <f>DataSheet!P12&amp;"住宅ローン"&amp;DataSheet!R12&amp;"購入"&amp;DataSheet!S12&amp;"生活費　"&amp;DataSheet!T12&amp;"返済　"&amp;DataSheet!U12&amp;"飲食交際遊興費　"&amp;DataSheet!Q12&amp;"保証　"&amp;DataSheet!V12&amp;"その他"</f>
        <v>□住宅ローン☑購入□生活費　□返済　□飲食交際遊興費　□保証　□その他</v>
      </c>
      <c r="I6" s="57" t="str">
        <f>DataSheet!W12</f>
        <v>靴</v>
      </c>
      <c r="J6" s="58" t="str">
        <f>DataSheet!X12&amp;"有"</f>
        <v>☑有</v>
      </c>
      <c r="K6" s="59" t="str">
        <f>DataSheet!Y12&amp;"有"</f>
        <v>□有</v>
      </c>
      <c r="L6" s="61" t="b">
        <f t="shared" si="0"/>
        <v>0</v>
      </c>
      <c r="M6" s="61" t="e">
        <f>IF(#REF!="■",G5)</f>
        <v>#REF!</v>
      </c>
    </row>
    <row r="7" spans="1:13" ht="47.25" customHeight="1" x14ac:dyDescent="0.2">
      <c r="A7" s="105">
        <v>6</v>
      </c>
      <c r="B7" s="97" t="str">
        <f>DataSheet!B13</f>
        <v>ＡＧペイメントサービス株式会社</v>
      </c>
      <c r="C7" s="97" t="str">
        <f>DataSheet!D13</f>
        <v>５２５－８５３１</v>
      </c>
      <c r="D7" s="97" t="str">
        <f>DataSheet!E13</f>
        <v>滋賀県草津市西大路町１番１号</v>
      </c>
      <c r="E7" s="98">
        <f>DataSheet!K13</f>
        <v>12931</v>
      </c>
      <c r="F7" s="55" t="s">
        <v>66</v>
      </c>
      <c r="G7" s="56" t="str">
        <f>TEXT(DataSheet!N13,"[$-411]ge.m.d")&amp;"～"&amp;CHAR(10)&amp;TEXT(DataSheet!O13,"[$-411]ge.m.d")</f>
        <v>R4.1.29～
R4.2.12</v>
      </c>
      <c r="H7" s="57" t="str">
        <f>DataSheet!P13&amp;"住宅ローン"&amp;DataSheet!R13&amp;"購入"&amp;DataSheet!S13&amp;"生活費　"&amp;DataSheet!T13&amp;"返済　"&amp;DataSheet!U13&amp;"飲食交際遊興費　"&amp;DataSheet!Q13&amp;"保証　"&amp;DataSheet!V13&amp;"その他"</f>
        <v>□住宅ローン☑購入□生活費　□返済　□飲食交際遊興費　□保証　□その他</v>
      </c>
      <c r="I7" s="57" t="str">
        <f>DataSheet!W13</f>
        <v>服</v>
      </c>
      <c r="J7" s="58" t="str">
        <f>DataSheet!X13&amp;"有"</f>
        <v>☑有</v>
      </c>
      <c r="K7" s="59" t="str">
        <f>DataSheet!Y13&amp;"有"</f>
        <v>□有</v>
      </c>
      <c r="L7" s="61" t="b">
        <f t="shared" si="0"/>
        <v>0</v>
      </c>
      <c r="M7" s="61" t="e">
        <f>IF(#REF!="■",G6)</f>
        <v>#REF!</v>
      </c>
    </row>
    <row r="8" spans="1:13" ht="47.25" customHeight="1" x14ac:dyDescent="0.2">
      <c r="A8" s="105">
        <v>7</v>
      </c>
      <c r="B8" s="103" t="str">
        <f>DataSheet!B14</f>
        <v>オリンポス債権回収株式会社　サービシング事業部　管理課４課</v>
      </c>
      <c r="C8" s="97" t="str">
        <f>DataSheet!D14</f>
        <v>０６２－００２０</v>
      </c>
      <c r="D8" s="97" t="str">
        <f>DataSheet!E14</f>
        <v>北海道札幌市豊平区月寒中央通７－６－２０　ＪＡ月寒中央ビル</v>
      </c>
      <c r="E8" s="98">
        <f>DataSheet!K14</f>
        <v>117007</v>
      </c>
      <c r="F8" s="55" t="s">
        <v>66</v>
      </c>
      <c r="G8" s="56" t="str">
        <f>TEXT(DataSheet!N14,"[$-411]ge.m.d")&amp;"～"&amp;CHAR(10)&amp;TEXT(DataSheet!O14,"[$-411]ge.m.d")</f>
        <v>R4.5.6～
R4.7.2</v>
      </c>
      <c r="H8" s="57" t="str">
        <f>DataSheet!P14&amp;"住宅ローン"&amp;DataSheet!R14&amp;"購入"&amp;DataSheet!S14&amp;"生活費　"&amp;DataSheet!T14&amp;"返済　"&amp;DataSheet!U14&amp;"飲食交際遊興費　"&amp;DataSheet!Q14&amp;"保証　"&amp;DataSheet!V14&amp;"その他"</f>
        <v>□住宅ローン☑購入□生活費　□返済　□飲食交際遊興費　□保証　□その他</v>
      </c>
      <c r="I8" s="102" t="str">
        <f>DataSheet!W14</f>
        <v>福岡簡裁令和５年（ハ）第４１８１４号確定判決
原債権者ＰａｙＰａｙカード株式会社2025/8/27債権譲渡</v>
      </c>
      <c r="J8" s="58" t="str">
        <f>DataSheet!X14&amp;"有"</f>
        <v>☑有</v>
      </c>
      <c r="K8" s="59" t="str">
        <f>DataSheet!Y14&amp;"有"</f>
        <v>□有</v>
      </c>
      <c r="L8" s="61"/>
      <c r="M8" s="61"/>
    </row>
    <row r="9" spans="1:13" ht="47.25" customHeight="1" x14ac:dyDescent="0.2">
      <c r="A9" s="105">
        <v>8</v>
      </c>
      <c r="B9" s="97" t="str">
        <f>DataSheet!B15</f>
        <v>アコム株式会社　債権管理部　東日本審査センター</v>
      </c>
      <c r="C9" s="97" t="str">
        <f>DataSheet!D15</f>
        <v>１０２－００７１</v>
      </c>
      <c r="D9" s="97" t="str">
        <f>DataSheet!E15</f>
        <v>東京都千代田区富士見２－１５－１１　ＡＣＯＭ富士見ビル</v>
      </c>
      <c r="E9" s="98">
        <f>DataSheet!K15</f>
        <v>305758</v>
      </c>
      <c r="F9" s="55" t="s">
        <v>66</v>
      </c>
      <c r="G9" s="56" t="str">
        <f>TEXT(DataSheet!N15,"[$-411]ge.m.d")&amp;"～"&amp;CHAR(10)&amp;TEXT(DataSheet!O15,"[$-411]ge.m.d")</f>
        <v xml:space="preserve">R4.6.12～
H/R . . </v>
      </c>
      <c r="H9" s="57" t="str">
        <f>DataSheet!P15&amp;"住宅ローン"&amp;DataSheet!R15&amp;"購入"&amp;DataSheet!S15&amp;"生活費　"&amp;DataSheet!T15&amp;"返済　"&amp;DataSheet!U15&amp;"飲食交際遊興費　"&amp;DataSheet!Q15&amp;"保証　"&amp;DataSheet!V15&amp;"その他"</f>
        <v>□住宅ローン□購入☑生活費　□返済　□飲食交際遊興費　□保証　□その他</v>
      </c>
      <c r="I9" s="57" t="str">
        <f>DataSheet!W15</f>
        <v>　</v>
      </c>
      <c r="J9" s="58" t="str">
        <f>DataSheet!X15&amp;"有"</f>
        <v>☑有</v>
      </c>
      <c r="K9" s="59" t="str">
        <f>DataSheet!Y15&amp;"有"</f>
        <v>□有</v>
      </c>
      <c r="L9" s="61"/>
      <c r="M9" s="61"/>
    </row>
    <row r="10" spans="1:13" ht="47.25" customHeight="1" x14ac:dyDescent="0.2">
      <c r="A10" s="105" t="s">
        <v>182</v>
      </c>
      <c r="B10" s="97" t="str">
        <f>DataSheet!B16</f>
        <v>ニッテレ債権回収株式会社　福岡サービシングセンター</v>
      </c>
      <c r="C10" s="97" t="str">
        <f>DataSheet!D16</f>
        <v>８１２－００３９</v>
      </c>
      <c r="D10" s="97" t="str">
        <f>DataSheet!E16</f>
        <v>福岡県福岡市博多区冷泉町５－２３　オーシャン博多ビル５階</v>
      </c>
      <c r="E10" s="98">
        <f>DataSheet!K16</f>
        <v>50000</v>
      </c>
      <c r="F10" s="55" t="s">
        <v>66</v>
      </c>
      <c r="G10" s="56" t="str">
        <f>TEXT(DataSheet!N16,"[$-411]ge.m.d")&amp;"～"&amp;CHAR(10)&amp;TEXT(DataSheet!O16,"[$-411]ge.m.d")</f>
        <v xml:space="preserve">R4.7.13～
H/R . . </v>
      </c>
      <c r="H10" s="57" t="str">
        <f>DataSheet!P16&amp;"住宅ローン"&amp;DataSheet!R16&amp;"購入"&amp;DataSheet!S16&amp;"生活費　"&amp;DataSheet!T16&amp;"返済　"&amp;DataSheet!U16&amp;"飲食交際遊興費　"&amp;DataSheet!Q16&amp;"保証　"&amp;DataSheet!V16&amp;"その他"</f>
        <v>□住宅ローン□購入☑生活費　□返済　□飲食交際遊興費　□保証　□その他</v>
      </c>
      <c r="I10" s="57" t="str">
        <f>DataSheet!W16</f>
        <v>原債権者株式会社みんなの銀行　2023/9/29債権譲渡</v>
      </c>
      <c r="J10" s="58" t="str">
        <f>DataSheet!X16&amp;"有"</f>
        <v>☑有</v>
      </c>
      <c r="K10" s="59" t="str">
        <f>DataSheet!Y16&amp;"有"</f>
        <v>□有</v>
      </c>
      <c r="L10" s="61"/>
      <c r="M10" s="61"/>
    </row>
    <row r="11" spans="1:13" ht="47.25" customHeight="1" x14ac:dyDescent="0.2">
      <c r="A11" s="105" t="s">
        <v>183</v>
      </c>
      <c r="B11" s="97" t="str">
        <f>DataSheet!B17</f>
        <v>ニッテレ債権回収株式会社　札幌サービシングセンター</v>
      </c>
      <c r="C11" s="97" t="str">
        <f>DataSheet!D17</f>
        <v>０６０－００３１</v>
      </c>
      <c r="D11" s="97" t="str">
        <f>DataSheet!E17</f>
        <v>北海道札幌市中央区北一条東１－２－５</v>
      </c>
      <c r="E11" s="98">
        <f>DataSheet!K17</f>
        <v>42211</v>
      </c>
      <c r="F11" s="55" t="s">
        <v>66</v>
      </c>
      <c r="G11" s="56" t="str">
        <f>TEXT(DataSheet!N17,"[$-411]ge.m.d")&amp;"～"&amp;CHAR(10)&amp;TEXT(DataSheet!O17,"[$-411]ge.m.d")</f>
        <v xml:space="preserve">R4.7.13～
H/R . . </v>
      </c>
      <c r="H11" s="57" t="str">
        <f>DataSheet!P17&amp;"住宅ローン"&amp;DataSheet!R17&amp;"購入"&amp;DataSheet!S17&amp;"生活費　"&amp;DataSheet!T17&amp;"返済　"&amp;DataSheet!U17&amp;"飲食交際遊興費　"&amp;DataSheet!Q17&amp;"保証　"&amp;DataSheet!V17&amp;"その他"</f>
        <v>□住宅ローン□購入☑生活費　□返済　□飲食交際遊興費　□保証　□その他</v>
      </c>
      <c r="I11" s="57" t="str">
        <f>DataSheet!W17</f>
        <v>原債権者LINEＣｒｅｄｉｔ株式会社2023/7/12債権譲渡</v>
      </c>
      <c r="J11" s="58" t="str">
        <f>DataSheet!X17&amp;"有"</f>
        <v>☑有</v>
      </c>
      <c r="K11" s="59" t="str">
        <f>DataSheet!Y17&amp;"有"</f>
        <v>□有</v>
      </c>
      <c r="L11" s="61"/>
      <c r="M11" s="61"/>
    </row>
    <row r="12" spans="1:13" ht="47.25" customHeight="1" x14ac:dyDescent="0.2">
      <c r="A12" s="105">
        <v>10</v>
      </c>
      <c r="B12" s="97" t="str">
        <f>DataSheet!B18</f>
        <v>株式会社ＳＣＯＲＥ</v>
      </c>
      <c r="C12" s="97" t="str">
        <f>DataSheet!D18</f>
        <v>６０１－８４１２</v>
      </c>
      <c r="D12" s="97" t="str">
        <f>DataSheet!E18</f>
        <v>京都府京都市南区西九条院町２６</v>
      </c>
      <c r="E12" s="98">
        <f>DataSheet!K18</f>
        <v>13734</v>
      </c>
      <c r="F12" s="55" t="s">
        <v>66</v>
      </c>
      <c r="G12" s="56" t="str">
        <f>TEXT(DataSheet!N18,"[$-411]ge.m.d")&amp;"～"&amp;CHAR(10)&amp;TEXT(DataSheet!O18,"[$-411]ge.m.d")</f>
        <v xml:space="preserve">R4.8.2～
H/R . . </v>
      </c>
      <c r="H12" s="57" t="str">
        <f>DataSheet!P18&amp;"住宅ローン"&amp;DataSheet!R18&amp;"購入"&amp;DataSheet!S18&amp;"生活費　"&amp;DataSheet!T18&amp;"返済　"&amp;DataSheet!U18&amp;"飲食交際遊興費　"&amp;DataSheet!Q18&amp;"保証　"&amp;DataSheet!V18&amp;"その他"</f>
        <v>□住宅ローン☑購入□生活費　□返済　□飲食交際遊興費　□保証　□その他</v>
      </c>
      <c r="I12" s="57" t="str">
        <f>DataSheet!W18</f>
        <v>寝具、ヘッドホン</v>
      </c>
      <c r="J12" s="58" t="str">
        <f>DataSheet!X18&amp;"有"</f>
        <v>☑有</v>
      </c>
      <c r="K12" s="59" t="str">
        <f>DataSheet!Y18&amp;"有"</f>
        <v>□有</v>
      </c>
      <c r="L12" s="61"/>
      <c r="M12" s="61"/>
    </row>
    <row r="13" spans="1:13" ht="47.25" customHeight="1" x14ac:dyDescent="0.2">
      <c r="A13" s="105">
        <v>11</v>
      </c>
      <c r="B13" s="97" t="str">
        <f>DataSheet!B19</f>
        <v>ＡＧ債権回収株式会社　サービシング部</v>
      </c>
      <c r="C13" s="97" t="str">
        <f>DataSheet!D19</f>
        <v>５２５－００３７</v>
      </c>
      <c r="D13" s="97" t="str">
        <f>DataSheet!E19</f>
        <v>滋賀県草津市西大路町１－１</v>
      </c>
      <c r="E13" s="98">
        <f>DataSheet!K19</f>
        <v>47733</v>
      </c>
      <c r="F13" s="55" t="s">
        <v>66</v>
      </c>
      <c r="G13" s="56" t="str">
        <f>TEXT(DataSheet!N19,"[$-411]ge.m.d")&amp;"～"&amp;CHAR(10)&amp;TEXT(DataSheet!O19,"[$-411]ge.m.d")</f>
        <v xml:space="preserve">R4.9.22～
H/R . . </v>
      </c>
      <c r="H13" s="57" t="str">
        <f>DataSheet!P19&amp;"住宅ローン"&amp;DataSheet!R19&amp;"購入"&amp;DataSheet!S19&amp;"生活費　"&amp;DataSheet!T19&amp;"返済　"&amp;DataSheet!U19&amp;"飲食交際遊興費　"&amp;DataSheet!Q19&amp;"保証　"&amp;DataSheet!V19&amp;"その他"</f>
        <v>□住宅ローン□購入☑生活費　□返済　□飲食交際遊興費　□保証　□その他</v>
      </c>
      <c r="I13" s="57" t="str">
        <f>DataSheet!W19</f>
        <v>アイフル株式会社R7.9.8債権譲渡</v>
      </c>
      <c r="J13" s="58" t="str">
        <f>DataSheet!X19&amp;"有"</f>
        <v>☑有</v>
      </c>
      <c r="K13" s="59" t="str">
        <f>DataSheet!Y19&amp;"有"</f>
        <v>□有</v>
      </c>
      <c r="L13" s="61"/>
      <c r="M13" s="61"/>
    </row>
    <row r="14" spans="1:13" ht="47.25" customHeight="1" x14ac:dyDescent="0.2">
      <c r="A14" s="105">
        <v>12</v>
      </c>
      <c r="B14" s="97" t="str">
        <f>DataSheet!B20</f>
        <v>ＫＤＤＩ株式会社　債権管理グループ　債務整理担当</v>
      </c>
      <c r="C14" s="97" t="str">
        <f>DataSheet!D20</f>
        <v>１６３－８５０６</v>
      </c>
      <c r="D14" s="97" t="str">
        <f>DataSheet!E20</f>
        <v>東京都新宿区西新宿２－３－２</v>
      </c>
      <c r="E14" s="98">
        <f>DataSheet!K20</f>
        <v>124400</v>
      </c>
      <c r="F14" s="55" t="s">
        <v>66</v>
      </c>
      <c r="G14" s="56" t="str">
        <f>TEXT(DataSheet!N20,"[$-411]ge.m.d")&amp;"～"&amp;CHAR(10)&amp;TEXT(DataSheet!O20,"[$-411]ge.m.d")</f>
        <v xml:space="preserve">H/R . . ～
H/R . . </v>
      </c>
      <c r="H14" s="57" t="str">
        <f>DataSheet!P20&amp;"住宅ローン"&amp;DataSheet!R20&amp;"購入"&amp;DataSheet!S20&amp;"生活費　"&amp;DataSheet!T20&amp;"返済　"&amp;DataSheet!U20&amp;"飲食交際遊興費　"&amp;DataSheet!Q20&amp;"保証　"&amp;DataSheet!V20&amp;"その他"</f>
        <v>□住宅ローン☑購入□生活費　□返済　□飲食交際遊興費　□保証　□その他</v>
      </c>
      <c r="I14" s="57" t="str">
        <f>DataSheet!W20</f>
        <v>回答拒否のため、金額不明</v>
      </c>
      <c r="J14" s="58" t="str">
        <f>DataSheet!X20&amp;"有"</f>
        <v>□有</v>
      </c>
      <c r="K14" s="59" t="str">
        <f>DataSheet!Y20&amp;"有"</f>
        <v>□有</v>
      </c>
      <c r="L14" s="61"/>
      <c r="M14" s="61"/>
    </row>
    <row r="15" spans="1:13" ht="47.25" customHeight="1" x14ac:dyDescent="0.2">
      <c r="A15" s="105">
        <v>13</v>
      </c>
      <c r="B15" s="97" t="str">
        <f>DataSheet!B21</f>
        <v>ライフカード株式会社</v>
      </c>
      <c r="C15" s="97" t="str">
        <f>DataSheet!D21</f>
        <v>５２５－８５３１</v>
      </c>
      <c r="D15" s="97" t="str">
        <f>DataSheet!E21</f>
        <v>滋賀県草津市西大路町１－１</v>
      </c>
      <c r="E15" s="98">
        <f>DataSheet!K21</f>
        <v>29986</v>
      </c>
      <c r="F15" s="55" t="s">
        <v>66</v>
      </c>
      <c r="G15" s="56" t="str">
        <f>TEXT(DataSheet!N21,"[$-411]ge.m.d")&amp;"～"&amp;CHAR(10)&amp;TEXT(DataSheet!O21,"[$-411]ge.m.d")</f>
        <v xml:space="preserve">R4.5.27～
H/R . . </v>
      </c>
      <c r="H15" s="57" t="str">
        <f>DataSheet!P21&amp;"住宅ローン"&amp;DataSheet!R21&amp;"購入"&amp;DataSheet!S21&amp;"生活費　"&amp;DataSheet!T21&amp;"返済　"&amp;DataSheet!U21&amp;"飲食交際遊興費　"&amp;DataSheet!Q21&amp;"保証　"&amp;DataSheet!V21&amp;"その他"</f>
        <v>□住宅ローン☑購入□生活費　□返済　□飲食交際遊興費　□保証　□その他</v>
      </c>
      <c r="I15" s="57" t="str">
        <f>DataSheet!W21</f>
        <v>　</v>
      </c>
      <c r="J15" s="58" t="str">
        <f>DataSheet!X21&amp;"有"</f>
        <v>☑有</v>
      </c>
      <c r="K15" s="59" t="str">
        <f>DataSheet!Y21&amp;"有"</f>
        <v>□有</v>
      </c>
      <c r="L15" s="61"/>
      <c r="M15" s="61"/>
    </row>
    <row r="16" spans="1:13" ht="47.25" customHeight="1" x14ac:dyDescent="0.2">
      <c r="A16" s="105">
        <v>14</v>
      </c>
      <c r="B16" s="97" t="str">
        <f>DataSheet!B22</f>
        <v>アビリオ債権回収株式会社　東京第一事業部</v>
      </c>
      <c r="C16" s="97" t="str">
        <f>DataSheet!D22</f>
        <v>１３５－００６１</v>
      </c>
      <c r="D16" s="97" t="str">
        <f>DataSheet!E22</f>
        <v>東京都江東区豊洲３－２－２０　豊洲フロント６階</v>
      </c>
      <c r="E16" s="98">
        <f>DataSheet!K22</f>
        <v>36142</v>
      </c>
      <c r="F16" s="55" t="s">
        <v>66</v>
      </c>
      <c r="G16" s="56" t="str">
        <f>TEXT(DataSheet!N22,"[$-411]ge.m.d")&amp;"～"&amp;CHAR(10)&amp;TEXT(DataSheet!O22,"[$-411]ge.m.d")</f>
        <v xml:space="preserve">H/R . . ～
H/R . . </v>
      </c>
      <c r="H16" s="57" t="str">
        <f>DataSheet!P22&amp;"住宅ローン"&amp;DataSheet!R22&amp;"購入"&amp;DataSheet!S22&amp;"生活費　"&amp;DataSheet!T22&amp;"返済　"&amp;DataSheet!U22&amp;"飲食交際遊興費　"&amp;DataSheet!Q22&amp;"保証　"&amp;DataSheet!V22&amp;"その他"</f>
        <v>□住宅ローン□購入□生活費　□返済　□飲食交際遊興費　□保証　□その他</v>
      </c>
      <c r="I16" s="57" t="str">
        <f>DataSheet!W22</f>
        <v>三井住友カード株式会社2025/3/10債権譲渡</v>
      </c>
      <c r="J16" s="58" t="str">
        <f>DataSheet!X22&amp;"有"</f>
        <v>☑有</v>
      </c>
      <c r="K16" s="59" t="str">
        <f>DataSheet!Y22&amp;"有"</f>
        <v>□有</v>
      </c>
      <c r="L16" s="61"/>
      <c r="M16" s="61"/>
    </row>
    <row r="17" spans="1:19" ht="47.25" customHeight="1" thickBot="1" x14ac:dyDescent="0.25">
      <c r="A17" s="106">
        <v>15</v>
      </c>
      <c r="B17" s="99" t="str">
        <f>DataSheet!B23</f>
        <v>　</v>
      </c>
      <c r="C17" s="99" t="str">
        <f>DataSheet!D23</f>
        <v>　</v>
      </c>
      <c r="D17" s="99" t="str">
        <f>DataSheet!E23</f>
        <v>　</v>
      </c>
      <c r="E17" s="100" t="str">
        <f>DataSheet!K23</f>
        <v>　</v>
      </c>
      <c r="F17" s="62" t="s">
        <v>66</v>
      </c>
      <c r="G17" s="63" t="str">
        <f>TEXT(DataSheet!N23,"[$-411]ge.m.d")&amp;"～"&amp;CHAR(10)&amp;TEXT(DataSheet!O23,"[$-411]ge.m.d")</f>
        <v xml:space="preserve">H/R . . ～
H/R . . </v>
      </c>
      <c r="H17" s="64" t="str">
        <f>DataSheet!P23&amp;"住宅ローン"&amp;DataSheet!R23&amp;"購入"&amp;DataSheet!S23&amp;"生活費　"&amp;DataSheet!T23&amp;"返済　"&amp;DataSheet!U23&amp;"飲食交際遊興費　"&amp;DataSheet!Q23&amp;"保証　"&amp;DataSheet!V23&amp;"その他"</f>
        <v>□住宅ローン□購入□生活費　□返済　□飲食交際遊興費　□保証　□その他</v>
      </c>
      <c r="I17" s="64" t="str">
        <f>DataSheet!W23</f>
        <v xml:space="preserve"> </v>
      </c>
      <c r="J17" s="65" t="str">
        <f>DataSheet!X23&amp;"有"</f>
        <v>□有</v>
      </c>
      <c r="K17" s="66" t="str">
        <f>DataSheet!Y23&amp;"有"</f>
        <v>□有</v>
      </c>
      <c r="L17" s="61"/>
      <c r="M17" s="61"/>
    </row>
    <row r="18" spans="1:19" ht="15" customHeight="1" x14ac:dyDescent="0.2">
      <c r="A18" s="107"/>
      <c r="D18" s="68"/>
      <c r="G18" s="69"/>
      <c r="H18" s="70"/>
      <c r="I18" s="71"/>
      <c r="J18" s="72"/>
      <c r="K18" s="72"/>
    </row>
    <row r="19" spans="1:19" s="3" customFormat="1" ht="12" customHeight="1" x14ac:dyDescent="0.2">
      <c r="A19" s="1"/>
      <c r="B19" s="2" t="s">
        <v>15</v>
      </c>
      <c r="C19" s="1"/>
      <c r="Q19" s="73"/>
      <c r="R19" s="73"/>
    </row>
    <row r="20" spans="1:19" s="3" customFormat="1" ht="12" customHeight="1" x14ac:dyDescent="0.2">
      <c r="A20" s="1"/>
      <c r="B20" s="4" t="s">
        <v>16</v>
      </c>
      <c r="Q20" s="73"/>
      <c r="R20" s="73"/>
    </row>
    <row r="21" spans="1:19" s="3" customFormat="1" ht="12" customHeight="1" x14ac:dyDescent="0.2">
      <c r="A21" s="1"/>
      <c r="B21" s="4" t="s">
        <v>17</v>
      </c>
      <c r="Q21" s="73"/>
      <c r="R21" s="73"/>
    </row>
    <row r="22" spans="1:19" s="3" customFormat="1" ht="12" customHeight="1" x14ac:dyDescent="0.2">
      <c r="A22" s="1"/>
      <c r="B22" s="4" t="s">
        <v>18</v>
      </c>
      <c r="C22" s="4"/>
      <c r="Q22" s="73"/>
      <c r="R22" s="73"/>
    </row>
    <row r="23" spans="1:19" s="3" customFormat="1" ht="12" customHeight="1" x14ac:dyDescent="0.2">
      <c r="A23" s="1"/>
      <c r="B23" s="4" t="s">
        <v>19</v>
      </c>
      <c r="C23" s="4"/>
      <c r="Q23" s="73"/>
      <c r="R23" s="73"/>
    </row>
    <row r="24" spans="1:19" s="3" customFormat="1" ht="12" customHeight="1" x14ac:dyDescent="0.2">
      <c r="A24" s="1"/>
      <c r="B24" s="4" t="s">
        <v>20</v>
      </c>
      <c r="C24" s="4"/>
      <c r="Q24" s="73"/>
      <c r="R24" s="73"/>
    </row>
    <row r="25" spans="1:19" s="3" customFormat="1" ht="12" customHeight="1" x14ac:dyDescent="0.2">
      <c r="A25" s="1"/>
      <c r="B25" s="4" t="s">
        <v>21</v>
      </c>
      <c r="C25" s="4"/>
      <c r="Q25" s="73"/>
      <c r="R25" s="73"/>
    </row>
    <row r="26" spans="1:19" s="74" customFormat="1" ht="12" customHeight="1" x14ac:dyDescent="0.2">
      <c r="A26" s="108"/>
      <c r="B26" s="75" t="s">
        <v>22</v>
      </c>
      <c r="C26" s="76"/>
      <c r="S26" s="77"/>
    </row>
    <row r="27" spans="1:19" s="74" customFormat="1" ht="12" customHeight="1" thickBot="1" x14ac:dyDescent="0.25">
      <c r="A27" s="108"/>
      <c r="B27" s="75" t="s">
        <v>23</v>
      </c>
      <c r="C27" s="76"/>
      <c r="S27" s="77"/>
    </row>
    <row r="28" spans="1:19" s="86" customFormat="1" ht="23.25" customHeight="1" x14ac:dyDescent="0.2">
      <c r="A28" s="109"/>
      <c r="B28" s="78" t="s">
        <v>67</v>
      </c>
      <c r="C28" s="79">
        <v>14</v>
      </c>
      <c r="D28" s="80" t="s">
        <v>10</v>
      </c>
      <c r="E28" s="81">
        <f>SUM(E2:E17)</f>
        <v>1626254</v>
      </c>
      <c r="F28" s="78" t="s">
        <v>8</v>
      </c>
      <c r="G28" s="82" t="s">
        <v>68</v>
      </c>
      <c r="H28" s="78"/>
      <c r="I28" s="83">
        <f>E28-E29-H29</f>
        <v>1626254</v>
      </c>
      <c r="J28" s="84" t="s">
        <v>8</v>
      </c>
      <c r="K28" s="85"/>
    </row>
    <row r="29" spans="1:19" s="86" customFormat="1" ht="23.25" customHeight="1" thickBot="1" x14ac:dyDescent="0.3">
      <c r="A29" s="110"/>
      <c r="B29" s="87"/>
      <c r="C29" s="88"/>
      <c r="D29" s="89" t="s">
        <v>11</v>
      </c>
      <c r="E29" s="90">
        <v>0</v>
      </c>
      <c r="F29" s="87" t="s">
        <v>8</v>
      </c>
      <c r="G29" s="87" t="s">
        <v>13</v>
      </c>
      <c r="H29" s="88">
        <v>0</v>
      </c>
      <c r="I29" s="88" t="s">
        <v>12</v>
      </c>
      <c r="J29" s="91"/>
      <c r="K29" s="92"/>
    </row>
    <row r="34" spans="11:12" ht="15" customHeight="1" x14ac:dyDescent="0.2">
      <c r="K34" s="93"/>
      <c r="L34" s="94"/>
    </row>
    <row r="35" spans="11:12" ht="15" customHeight="1" x14ac:dyDescent="0.2">
      <c r="K35" s="93"/>
      <c r="L35" s="94"/>
    </row>
    <row r="36" spans="11:12" ht="15" customHeight="1" x14ac:dyDescent="0.2">
      <c r="L36" s="94"/>
    </row>
    <row r="37" spans="11:12" ht="15" customHeight="1" x14ac:dyDescent="0.2">
      <c r="K37" s="93"/>
      <c r="L37" s="94"/>
    </row>
  </sheetData>
  <phoneticPr fontId="2"/>
  <dataValidations count="2">
    <dataValidation imeMode="on" allowBlank="1" showInputMessage="1" showErrorMessage="1" sqref="I19:O27 JE19:JK27 TA19:TG27 ACW19:ADC27 AMS19:AMY27 AWO19:AWU27 BGK19:BGQ27 BQG19:BQM27 CAC19:CAI27 CJY19:CKE27 CTU19:CUA27 DDQ19:DDW27 DNM19:DNS27 DXI19:DXO27 EHE19:EHK27 ERA19:ERG27 FAW19:FBC27 FKS19:FKY27 FUO19:FUU27 GEK19:GEQ27 GOG19:GOM27 GYC19:GYI27 HHY19:HIE27 HRU19:HSA27 IBQ19:IBW27 ILM19:ILS27 IVI19:IVO27 JFE19:JFK27 JPA19:JPG27 JYW19:JZC27 KIS19:KIY27 KSO19:KSU27 LCK19:LCQ27 LMG19:LMM27 LWC19:LWI27 MFY19:MGE27 MPU19:MQA27 MZQ19:MZW27 NJM19:NJS27 NTI19:NTO27 ODE19:ODK27 ONA19:ONG27 OWW19:OXC27 PGS19:PGY27 PQO19:PQU27 QAK19:QAQ27 QKG19:QKM27 QUC19:QUI27 RDY19:REE27 RNU19:ROA27 RXQ19:RXW27 SHM19:SHS27 SRI19:SRO27 TBE19:TBK27 TLA19:TLG27 TUW19:TVC27 UES19:UEY27 UOO19:UOU27 UYK19:UYQ27 VIG19:VIM27 VSC19:VSI27 WBY19:WCE27 WLU19:WMA27 WVQ19:WVW27 I65555:O65563 JE65555:JK65563 TA65555:TG65563 ACW65555:ADC65563 AMS65555:AMY65563 AWO65555:AWU65563 BGK65555:BGQ65563 BQG65555:BQM65563 CAC65555:CAI65563 CJY65555:CKE65563 CTU65555:CUA65563 DDQ65555:DDW65563 DNM65555:DNS65563 DXI65555:DXO65563 EHE65555:EHK65563 ERA65555:ERG65563 FAW65555:FBC65563 FKS65555:FKY65563 FUO65555:FUU65563 GEK65555:GEQ65563 GOG65555:GOM65563 GYC65555:GYI65563 HHY65555:HIE65563 HRU65555:HSA65563 IBQ65555:IBW65563 ILM65555:ILS65563 IVI65555:IVO65563 JFE65555:JFK65563 JPA65555:JPG65563 JYW65555:JZC65563 KIS65555:KIY65563 KSO65555:KSU65563 LCK65555:LCQ65563 LMG65555:LMM65563 LWC65555:LWI65563 MFY65555:MGE65563 MPU65555:MQA65563 MZQ65555:MZW65563 NJM65555:NJS65563 NTI65555:NTO65563 ODE65555:ODK65563 ONA65555:ONG65563 OWW65555:OXC65563 PGS65555:PGY65563 PQO65555:PQU65563 QAK65555:QAQ65563 QKG65555:QKM65563 QUC65555:QUI65563 RDY65555:REE65563 RNU65555:ROA65563 RXQ65555:RXW65563 SHM65555:SHS65563 SRI65555:SRO65563 TBE65555:TBK65563 TLA65555:TLG65563 TUW65555:TVC65563 UES65555:UEY65563 UOO65555:UOU65563 UYK65555:UYQ65563 VIG65555:VIM65563 VSC65555:VSI65563 WBY65555:WCE65563 WLU65555:WMA65563 WVQ65555:WVW65563 I131091:O131099 JE131091:JK131099 TA131091:TG131099 ACW131091:ADC131099 AMS131091:AMY131099 AWO131091:AWU131099 BGK131091:BGQ131099 BQG131091:BQM131099 CAC131091:CAI131099 CJY131091:CKE131099 CTU131091:CUA131099 DDQ131091:DDW131099 DNM131091:DNS131099 DXI131091:DXO131099 EHE131091:EHK131099 ERA131091:ERG131099 FAW131091:FBC131099 FKS131091:FKY131099 FUO131091:FUU131099 GEK131091:GEQ131099 GOG131091:GOM131099 GYC131091:GYI131099 HHY131091:HIE131099 HRU131091:HSA131099 IBQ131091:IBW131099 ILM131091:ILS131099 IVI131091:IVO131099 JFE131091:JFK131099 JPA131091:JPG131099 JYW131091:JZC131099 KIS131091:KIY131099 KSO131091:KSU131099 LCK131091:LCQ131099 LMG131091:LMM131099 LWC131091:LWI131099 MFY131091:MGE131099 MPU131091:MQA131099 MZQ131091:MZW131099 NJM131091:NJS131099 NTI131091:NTO131099 ODE131091:ODK131099 ONA131091:ONG131099 OWW131091:OXC131099 PGS131091:PGY131099 PQO131091:PQU131099 QAK131091:QAQ131099 QKG131091:QKM131099 QUC131091:QUI131099 RDY131091:REE131099 RNU131091:ROA131099 RXQ131091:RXW131099 SHM131091:SHS131099 SRI131091:SRO131099 TBE131091:TBK131099 TLA131091:TLG131099 TUW131091:TVC131099 UES131091:UEY131099 UOO131091:UOU131099 UYK131091:UYQ131099 VIG131091:VIM131099 VSC131091:VSI131099 WBY131091:WCE131099 WLU131091:WMA131099 WVQ131091:WVW131099 I196627:O196635 JE196627:JK196635 TA196627:TG196635 ACW196627:ADC196635 AMS196627:AMY196635 AWO196627:AWU196635 BGK196627:BGQ196635 BQG196627:BQM196635 CAC196627:CAI196635 CJY196627:CKE196635 CTU196627:CUA196635 DDQ196627:DDW196635 DNM196627:DNS196635 DXI196627:DXO196635 EHE196627:EHK196635 ERA196627:ERG196635 FAW196627:FBC196635 FKS196627:FKY196635 FUO196627:FUU196635 GEK196627:GEQ196635 GOG196627:GOM196635 GYC196627:GYI196635 HHY196627:HIE196635 HRU196627:HSA196635 IBQ196627:IBW196635 ILM196627:ILS196635 IVI196627:IVO196635 JFE196627:JFK196635 JPA196627:JPG196635 JYW196627:JZC196635 KIS196627:KIY196635 KSO196627:KSU196635 LCK196627:LCQ196635 LMG196627:LMM196635 LWC196627:LWI196635 MFY196627:MGE196635 MPU196627:MQA196635 MZQ196627:MZW196635 NJM196627:NJS196635 NTI196627:NTO196635 ODE196627:ODK196635 ONA196627:ONG196635 OWW196627:OXC196635 PGS196627:PGY196635 PQO196627:PQU196635 QAK196627:QAQ196635 QKG196627:QKM196635 QUC196627:QUI196635 RDY196627:REE196635 RNU196627:ROA196635 RXQ196627:RXW196635 SHM196627:SHS196635 SRI196627:SRO196635 TBE196627:TBK196635 TLA196627:TLG196635 TUW196627:TVC196635 UES196627:UEY196635 UOO196627:UOU196635 UYK196627:UYQ196635 VIG196627:VIM196635 VSC196627:VSI196635 WBY196627:WCE196635 WLU196627:WMA196635 WVQ196627:WVW196635 I262163:O262171 JE262163:JK262171 TA262163:TG262171 ACW262163:ADC262171 AMS262163:AMY262171 AWO262163:AWU262171 BGK262163:BGQ262171 BQG262163:BQM262171 CAC262163:CAI262171 CJY262163:CKE262171 CTU262163:CUA262171 DDQ262163:DDW262171 DNM262163:DNS262171 DXI262163:DXO262171 EHE262163:EHK262171 ERA262163:ERG262171 FAW262163:FBC262171 FKS262163:FKY262171 FUO262163:FUU262171 GEK262163:GEQ262171 GOG262163:GOM262171 GYC262163:GYI262171 HHY262163:HIE262171 HRU262163:HSA262171 IBQ262163:IBW262171 ILM262163:ILS262171 IVI262163:IVO262171 JFE262163:JFK262171 JPA262163:JPG262171 JYW262163:JZC262171 KIS262163:KIY262171 KSO262163:KSU262171 LCK262163:LCQ262171 LMG262163:LMM262171 LWC262163:LWI262171 MFY262163:MGE262171 MPU262163:MQA262171 MZQ262163:MZW262171 NJM262163:NJS262171 NTI262163:NTO262171 ODE262163:ODK262171 ONA262163:ONG262171 OWW262163:OXC262171 PGS262163:PGY262171 PQO262163:PQU262171 QAK262163:QAQ262171 QKG262163:QKM262171 QUC262163:QUI262171 RDY262163:REE262171 RNU262163:ROA262171 RXQ262163:RXW262171 SHM262163:SHS262171 SRI262163:SRO262171 TBE262163:TBK262171 TLA262163:TLG262171 TUW262163:TVC262171 UES262163:UEY262171 UOO262163:UOU262171 UYK262163:UYQ262171 VIG262163:VIM262171 VSC262163:VSI262171 WBY262163:WCE262171 WLU262163:WMA262171 WVQ262163:WVW262171 I327699:O327707 JE327699:JK327707 TA327699:TG327707 ACW327699:ADC327707 AMS327699:AMY327707 AWO327699:AWU327707 BGK327699:BGQ327707 BQG327699:BQM327707 CAC327699:CAI327707 CJY327699:CKE327707 CTU327699:CUA327707 DDQ327699:DDW327707 DNM327699:DNS327707 DXI327699:DXO327707 EHE327699:EHK327707 ERA327699:ERG327707 FAW327699:FBC327707 FKS327699:FKY327707 FUO327699:FUU327707 GEK327699:GEQ327707 GOG327699:GOM327707 GYC327699:GYI327707 HHY327699:HIE327707 HRU327699:HSA327707 IBQ327699:IBW327707 ILM327699:ILS327707 IVI327699:IVO327707 JFE327699:JFK327707 JPA327699:JPG327707 JYW327699:JZC327707 KIS327699:KIY327707 KSO327699:KSU327707 LCK327699:LCQ327707 LMG327699:LMM327707 LWC327699:LWI327707 MFY327699:MGE327707 MPU327699:MQA327707 MZQ327699:MZW327707 NJM327699:NJS327707 NTI327699:NTO327707 ODE327699:ODK327707 ONA327699:ONG327707 OWW327699:OXC327707 PGS327699:PGY327707 PQO327699:PQU327707 QAK327699:QAQ327707 QKG327699:QKM327707 QUC327699:QUI327707 RDY327699:REE327707 RNU327699:ROA327707 RXQ327699:RXW327707 SHM327699:SHS327707 SRI327699:SRO327707 TBE327699:TBK327707 TLA327699:TLG327707 TUW327699:TVC327707 UES327699:UEY327707 UOO327699:UOU327707 UYK327699:UYQ327707 VIG327699:VIM327707 VSC327699:VSI327707 WBY327699:WCE327707 WLU327699:WMA327707 WVQ327699:WVW327707 I393235:O393243 JE393235:JK393243 TA393235:TG393243 ACW393235:ADC393243 AMS393235:AMY393243 AWO393235:AWU393243 BGK393235:BGQ393243 BQG393235:BQM393243 CAC393235:CAI393243 CJY393235:CKE393243 CTU393235:CUA393243 DDQ393235:DDW393243 DNM393235:DNS393243 DXI393235:DXO393243 EHE393235:EHK393243 ERA393235:ERG393243 FAW393235:FBC393243 FKS393235:FKY393243 FUO393235:FUU393243 GEK393235:GEQ393243 GOG393235:GOM393243 GYC393235:GYI393243 HHY393235:HIE393243 HRU393235:HSA393243 IBQ393235:IBW393243 ILM393235:ILS393243 IVI393235:IVO393243 JFE393235:JFK393243 JPA393235:JPG393243 JYW393235:JZC393243 KIS393235:KIY393243 KSO393235:KSU393243 LCK393235:LCQ393243 LMG393235:LMM393243 LWC393235:LWI393243 MFY393235:MGE393243 MPU393235:MQA393243 MZQ393235:MZW393243 NJM393235:NJS393243 NTI393235:NTO393243 ODE393235:ODK393243 ONA393235:ONG393243 OWW393235:OXC393243 PGS393235:PGY393243 PQO393235:PQU393243 QAK393235:QAQ393243 QKG393235:QKM393243 QUC393235:QUI393243 RDY393235:REE393243 RNU393235:ROA393243 RXQ393235:RXW393243 SHM393235:SHS393243 SRI393235:SRO393243 TBE393235:TBK393243 TLA393235:TLG393243 TUW393235:TVC393243 UES393235:UEY393243 UOO393235:UOU393243 UYK393235:UYQ393243 VIG393235:VIM393243 VSC393235:VSI393243 WBY393235:WCE393243 WLU393235:WMA393243 WVQ393235:WVW393243 I458771:O458779 JE458771:JK458779 TA458771:TG458779 ACW458771:ADC458779 AMS458771:AMY458779 AWO458771:AWU458779 BGK458771:BGQ458779 BQG458771:BQM458779 CAC458771:CAI458779 CJY458771:CKE458779 CTU458771:CUA458779 DDQ458771:DDW458779 DNM458771:DNS458779 DXI458771:DXO458779 EHE458771:EHK458779 ERA458771:ERG458779 FAW458771:FBC458779 FKS458771:FKY458779 FUO458771:FUU458779 GEK458771:GEQ458779 GOG458771:GOM458779 GYC458771:GYI458779 HHY458771:HIE458779 HRU458771:HSA458779 IBQ458771:IBW458779 ILM458771:ILS458779 IVI458771:IVO458779 JFE458771:JFK458779 JPA458771:JPG458779 JYW458771:JZC458779 KIS458771:KIY458779 KSO458771:KSU458779 LCK458771:LCQ458779 LMG458771:LMM458779 LWC458771:LWI458779 MFY458771:MGE458779 MPU458771:MQA458779 MZQ458771:MZW458779 NJM458771:NJS458779 NTI458771:NTO458779 ODE458771:ODK458779 ONA458771:ONG458779 OWW458771:OXC458779 PGS458771:PGY458779 PQO458771:PQU458779 QAK458771:QAQ458779 QKG458771:QKM458779 QUC458771:QUI458779 RDY458771:REE458779 RNU458771:ROA458779 RXQ458771:RXW458779 SHM458771:SHS458779 SRI458771:SRO458779 TBE458771:TBK458779 TLA458771:TLG458779 TUW458771:TVC458779 UES458771:UEY458779 UOO458771:UOU458779 UYK458771:UYQ458779 VIG458771:VIM458779 VSC458771:VSI458779 WBY458771:WCE458779 WLU458771:WMA458779 WVQ458771:WVW458779 I524307:O524315 JE524307:JK524315 TA524307:TG524315 ACW524307:ADC524315 AMS524307:AMY524315 AWO524307:AWU524315 BGK524307:BGQ524315 BQG524307:BQM524315 CAC524307:CAI524315 CJY524307:CKE524315 CTU524307:CUA524315 DDQ524307:DDW524315 DNM524307:DNS524315 DXI524307:DXO524315 EHE524307:EHK524315 ERA524307:ERG524315 FAW524307:FBC524315 FKS524307:FKY524315 FUO524307:FUU524315 GEK524307:GEQ524315 GOG524307:GOM524315 GYC524307:GYI524315 HHY524307:HIE524315 HRU524307:HSA524315 IBQ524307:IBW524315 ILM524307:ILS524315 IVI524307:IVO524315 JFE524307:JFK524315 JPA524307:JPG524315 JYW524307:JZC524315 KIS524307:KIY524315 KSO524307:KSU524315 LCK524307:LCQ524315 LMG524307:LMM524315 LWC524307:LWI524315 MFY524307:MGE524315 MPU524307:MQA524315 MZQ524307:MZW524315 NJM524307:NJS524315 NTI524307:NTO524315 ODE524307:ODK524315 ONA524307:ONG524315 OWW524307:OXC524315 PGS524307:PGY524315 PQO524307:PQU524315 QAK524307:QAQ524315 QKG524307:QKM524315 QUC524307:QUI524315 RDY524307:REE524315 RNU524307:ROA524315 RXQ524307:RXW524315 SHM524307:SHS524315 SRI524307:SRO524315 TBE524307:TBK524315 TLA524307:TLG524315 TUW524307:TVC524315 UES524307:UEY524315 UOO524307:UOU524315 UYK524307:UYQ524315 VIG524307:VIM524315 VSC524307:VSI524315 WBY524307:WCE524315 WLU524307:WMA524315 WVQ524307:WVW524315 I589843:O589851 JE589843:JK589851 TA589843:TG589851 ACW589843:ADC589851 AMS589843:AMY589851 AWO589843:AWU589851 BGK589843:BGQ589851 BQG589843:BQM589851 CAC589843:CAI589851 CJY589843:CKE589851 CTU589843:CUA589851 DDQ589843:DDW589851 DNM589843:DNS589851 DXI589843:DXO589851 EHE589843:EHK589851 ERA589843:ERG589851 FAW589843:FBC589851 FKS589843:FKY589851 FUO589843:FUU589851 GEK589843:GEQ589851 GOG589843:GOM589851 GYC589843:GYI589851 HHY589843:HIE589851 HRU589843:HSA589851 IBQ589843:IBW589851 ILM589843:ILS589851 IVI589843:IVO589851 JFE589843:JFK589851 JPA589843:JPG589851 JYW589843:JZC589851 KIS589843:KIY589851 KSO589843:KSU589851 LCK589843:LCQ589851 LMG589843:LMM589851 LWC589843:LWI589851 MFY589843:MGE589851 MPU589843:MQA589851 MZQ589843:MZW589851 NJM589843:NJS589851 NTI589843:NTO589851 ODE589843:ODK589851 ONA589843:ONG589851 OWW589843:OXC589851 PGS589843:PGY589851 PQO589843:PQU589851 QAK589843:QAQ589851 QKG589843:QKM589851 QUC589843:QUI589851 RDY589843:REE589851 RNU589843:ROA589851 RXQ589843:RXW589851 SHM589843:SHS589851 SRI589843:SRO589851 TBE589843:TBK589851 TLA589843:TLG589851 TUW589843:TVC589851 UES589843:UEY589851 UOO589843:UOU589851 UYK589843:UYQ589851 VIG589843:VIM589851 VSC589843:VSI589851 WBY589843:WCE589851 WLU589843:WMA589851 WVQ589843:WVW589851 I655379:O655387 JE655379:JK655387 TA655379:TG655387 ACW655379:ADC655387 AMS655379:AMY655387 AWO655379:AWU655387 BGK655379:BGQ655387 BQG655379:BQM655387 CAC655379:CAI655387 CJY655379:CKE655387 CTU655379:CUA655387 DDQ655379:DDW655387 DNM655379:DNS655387 DXI655379:DXO655387 EHE655379:EHK655387 ERA655379:ERG655387 FAW655379:FBC655387 FKS655379:FKY655387 FUO655379:FUU655387 GEK655379:GEQ655387 GOG655379:GOM655387 GYC655379:GYI655387 HHY655379:HIE655387 HRU655379:HSA655387 IBQ655379:IBW655387 ILM655379:ILS655387 IVI655379:IVO655387 JFE655379:JFK655387 JPA655379:JPG655387 JYW655379:JZC655387 KIS655379:KIY655387 KSO655379:KSU655387 LCK655379:LCQ655387 LMG655379:LMM655387 LWC655379:LWI655387 MFY655379:MGE655387 MPU655379:MQA655387 MZQ655379:MZW655387 NJM655379:NJS655387 NTI655379:NTO655387 ODE655379:ODK655387 ONA655379:ONG655387 OWW655379:OXC655387 PGS655379:PGY655387 PQO655379:PQU655387 QAK655379:QAQ655387 QKG655379:QKM655387 QUC655379:QUI655387 RDY655379:REE655387 RNU655379:ROA655387 RXQ655379:RXW655387 SHM655379:SHS655387 SRI655379:SRO655387 TBE655379:TBK655387 TLA655379:TLG655387 TUW655379:TVC655387 UES655379:UEY655387 UOO655379:UOU655387 UYK655379:UYQ655387 VIG655379:VIM655387 VSC655379:VSI655387 WBY655379:WCE655387 WLU655379:WMA655387 WVQ655379:WVW655387 I720915:O720923 JE720915:JK720923 TA720915:TG720923 ACW720915:ADC720923 AMS720915:AMY720923 AWO720915:AWU720923 BGK720915:BGQ720923 BQG720915:BQM720923 CAC720915:CAI720923 CJY720915:CKE720923 CTU720915:CUA720923 DDQ720915:DDW720923 DNM720915:DNS720923 DXI720915:DXO720923 EHE720915:EHK720923 ERA720915:ERG720923 FAW720915:FBC720923 FKS720915:FKY720923 FUO720915:FUU720923 GEK720915:GEQ720923 GOG720915:GOM720923 GYC720915:GYI720923 HHY720915:HIE720923 HRU720915:HSA720923 IBQ720915:IBW720923 ILM720915:ILS720923 IVI720915:IVO720923 JFE720915:JFK720923 JPA720915:JPG720923 JYW720915:JZC720923 KIS720915:KIY720923 KSO720915:KSU720923 LCK720915:LCQ720923 LMG720915:LMM720923 LWC720915:LWI720923 MFY720915:MGE720923 MPU720915:MQA720923 MZQ720915:MZW720923 NJM720915:NJS720923 NTI720915:NTO720923 ODE720915:ODK720923 ONA720915:ONG720923 OWW720915:OXC720923 PGS720915:PGY720923 PQO720915:PQU720923 QAK720915:QAQ720923 QKG720915:QKM720923 QUC720915:QUI720923 RDY720915:REE720923 RNU720915:ROA720923 RXQ720915:RXW720923 SHM720915:SHS720923 SRI720915:SRO720923 TBE720915:TBK720923 TLA720915:TLG720923 TUW720915:TVC720923 UES720915:UEY720923 UOO720915:UOU720923 UYK720915:UYQ720923 VIG720915:VIM720923 VSC720915:VSI720923 WBY720915:WCE720923 WLU720915:WMA720923 WVQ720915:WVW720923 I786451:O786459 JE786451:JK786459 TA786451:TG786459 ACW786451:ADC786459 AMS786451:AMY786459 AWO786451:AWU786459 BGK786451:BGQ786459 BQG786451:BQM786459 CAC786451:CAI786459 CJY786451:CKE786459 CTU786451:CUA786459 DDQ786451:DDW786459 DNM786451:DNS786459 DXI786451:DXO786459 EHE786451:EHK786459 ERA786451:ERG786459 FAW786451:FBC786459 FKS786451:FKY786459 FUO786451:FUU786459 GEK786451:GEQ786459 GOG786451:GOM786459 GYC786451:GYI786459 HHY786451:HIE786459 HRU786451:HSA786459 IBQ786451:IBW786459 ILM786451:ILS786459 IVI786451:IVO786459 JFE786451:JFK786459 JPA786451:JPG786459 JYW786451:JZC786459 KIS786451:KIY786459 KSO786451:KSU786459 LCK786451:LCQ786459 LMG786451:LMM786459 LWC786451:LWI786459 MFY786451:MGE786459 MPU786451:MQA786459 MZQ786451:MZW786459 NJM786451:NJS786459 NTI786451:NTO786459 ODE786451:ODK786459 ONA786451:ONG786459 OWW786451:OXC786459 PGS786451:PGY786459 PQO786451:PQU786459 QAK786451:QAQ786459 QKG786451:QKM786459 QUC786451:QUI786459 RDY786451:REE786459 RNU786451:ROA786459 RXQ786451:RXW786459 SHM786451:SHS786459 SRI786451:SRO786459 TBE786451:TBK786459 TLA786451:TLG786459 TUW786451:TVC786459 UES786451:UEY786459 UOO786451:UOU786459 UYK786451:UYQ786459 VIG786451:VIM786459 VSC786451:VSI786459 WBY786451:WCE786459 WLU786451:WMA786459 WVQ786451:WVW786459 I851987:O851995 JE851987:JK851995 TA851987:TG851995 ACW851987:ADC851995 AMS851987:AMY851995 AWO851987:AWU851995 BGK851987:BGQ851995 BQG851987:BQM851995 CAC851987:CAI851995 CJY851987:CKE851995 CTU851987:CUA851995 DDQ851987:DDW851995 DNM851987:DNS851995 DXI851987:DXO851995 EHE851987:EHK851995 ERA851987:ERG851995 FAW851987:FBC851995 FKS851987:FKY851995 FUO851987:FUU851995 GEK851987:GEQ851995 GOG851987:GOM851995 GYC851987:GYI851995 HHY851987:HIE851995 HRU851987:HSA851995 IBQ851987:IBW851995 ILM851987:ILS851995 IVI851987:IVO851995 JFE851987:JFK851995 JPA851987:JPG851995 JYW851987:JZC851995 KIS851987:KIY851995 KSO851987:KSU851995 LCK851987:LCQ851995 LMG851987:LMM851995 LWC851987:LWI851995 MFY851987:MGE851995 MPU851987:MQA851995 MZQ851987:MZW851995 NJM851987:NJS851995 NTI851987:NTO851995 ODE851987:ODK851995 ONA851987:ONG851995 OWW851987:OXC851995 PGS851987:PGY851995 PQO851987:PQU851995 QAK851987:QAQ851995 QKG851987:QKM851995 QUC851987:QUI851995 RDY851987:REE851995 RNU851987:ROA851995 RXQ851987:RXW851995 SHM851987:SHS851995 SRI851987:SRO851995 TBE851987:TBK851995 TLA851987:TLG851995 TUW851987:TVC851995 UES851987:UEY851995 UOO851987:UOU851995 UYK851987:UYQ851995 VIG851987:VIM851995 VSC851987:VSI851995 WBY851987:WCE851995 WLU851987:WMA851995 WVQ851987:WVW851995 I917523:O917531 JE917523:JK917531 TA917523:TG917531 ACW917523:ADC917531 AMS917523:AMY917531 AWO917523:AWU917531 BGK917523:BGQ917531 BQG917523:BQM917531 CAC917523:CAI917531 CJY917523:CKE917531 CTU917523:CUA917531 DDQ917523:DDW917531 DNM917523:DNS917531 DXI917523:DXO917531 EHE917523:EHK917531 ERA917523:ERG917531 FAW917523:FBC917531 FKS917523:FKY917531 FUO917523:FUU917531 GEK917523:GEQ917531 GOG917523:GOM917531 GYC917523:GYI917531 HHY917523:HIE917531 HRU917523:HSA917531 IBQ917523:IBW917531 ILM917523:ILS917531 IVI917523:IVO917531 JFE917523:JFK917531 JPA917523:JPG917531 JYW917523:JZC917531 KIS917523:KIY917531 KSO917523:KSU917531 LCK917523:LCQ917531 LMG917523:LMM917531 LWC917523:LWI917531 MFY917523:MGE917531 MPU917523:MQA917531 MZQ917523:MZW917531 NJM917523:NJS917531 NTI917523:NTO917531 ODE917523:ODK917531 ONA917523:ONG917531 OWW917523:OXC917531 PGS917523:PGY917531 PQO917523:PQU917531 QAK917523:QAQ917531 QKG917523:QKM917531 QUC917523:QUI917531 RDY917523:REE917531 RNU917523:ROA917531 RXQ917523:RXW917531 SHM917523:SHS917531 SRI917523:SRO917531 TBE917523:TBK917531 TLA917523:TLG917531 TUW917523:TVC917531 UES917523:UEY917531 UOO917523:UOU917531 UYK917523:UYQ917531 VIG917523:VIM917531 VSC917523:VSI917531 WBY917523:WCE917531 WLU917523:WMA917531 WVQ917523:WVW917531 I983059:O983067 JE983059:JK983067 TA983059:TG983067 ACW983059:ADC983067 AMS983059:AMY983067 AWO983059:AWU983067 BGK983059:BGQ983067 BQG983059:BQM983067 CAC983059:CAI983067 CJY983059:CKE983067 CTU983059:CUA983067 DDQ983059:DDW983067 DNM983059:DNS983067 DXI983059:DXO983067 EHE983059:EHK983067 ERA983059:ERG983067 FAW983059:FBC983067 FKS983059:FKY983067 FUO983059:FUU983067 GEK983059:GEQ983067 GOG983059:GOM983067 GYC983059:GYI983067 HHY983059:HIE983067 HRU983059:HSA983067 IBQ983059:IBW983067 ILM983059:ILS983067 IVI983059:IVO983067 JFE983059:JFK983067 JPA983059:JPG983067 JYW983059:JZC983067 KIS983059:KIY983067 KSO983059:KSU983067 LCK983059:LCQ983067 LMG983059:LMM983067 LWC983059:LWI983067 MFY983059:MGE983067 MPU983059:MQA983067 MZQ983059:MZW983067 NJM983059:NJS983067 NTI983059:NTO983067 ODE983059:ODK983067 ONA983059:ONG983067 OWW983059:OXC983067 PGS983059:PGY983067 PQO983059:PQU983067 QAK983059:QAQ983067 QKG983059:QKM983067 QUC983059:QUI983067 RDY983059:REE983067 RNU983059:ROA983067 RXQ983059:RXW983067 SHM983059:SHS983067 SRI983059:SRO983067 TBE983059:TBK983067 TLA983059:TLG983067 TUW983059:TVC983067 UES983059:UEY983067 UOO983059:UOU983067 UYK983059:UYQ983067 VIG983059:VIM983067 VSC983059:VSI983067 WBY983059:WCE983067 WLU983059:WMA983067 WVQ983059:WVW983067 Z26:IV27 JV26:SR27 TR26:ACN27 ADN26:AMJ27 ANJ26:AWF27 AXF26:BGB27 BHB26:BPX27 BQX26:BZT27 CAT26:CJP27 CKP26:CTL27 CUL26:DDH27 DEH26:DND27 DOD26:DWZ27 DXZ26:EGV27 EHV26:EQR27 ERR26:FAN27 FBN26:FKJ27 FLJ26:FUF27 FVF26:GEB27 GFB26:GNX27 GOX26:GXT27 GYT26:HHP27 HIP26:HRL27 HSL26:IBH27 ICH26:ILD27 IMD26:IUZ27 IVZ26:JEV27 JFV26:JOR27 JPR26:JYN27 JZN26:KIJ27 KJJ26:KSF27 KTF26:LCB27 LDB26:LLX27 LMX26:LVT27 LWT26:MFP27 MGP26:MPL27 MQL26:MZH27 NAH26:NJD27 NKD26:NSZ27 NTZ26:OCV27 ODV26:OMR27 ONR26:OWN27 OXN26:PGJ27 PHJ26:PQF27 PRF26:QAB27 QBB26:QJX27 QKX26:QTT27 QUT26:RDP27 REP26:RNL27 ROL26:RXH27 RYH26:SHD27 SID26:SQZ27 SRZ26:TAV27 TBV26:TKR27 TLR26:TUN27 TVN26:UEJ27 UFJ26:UOF27 UPF26:UYB27 UZB26:VHX27 VIX26:VRT27 VST26:WBP27 WCP26:WLL27 WML26:WVH27 WWH26:XFD27 Z65562:IV65563 JV65562:SR65563 TR65562:ACN65563 ADN65562:AMJ65563 ANJ65562:AWF65563 AXF65562:BGB65563 BHB65562:BPX65563 BQX65562:BZT65563 CAT65562:CJP65563 CKP65562:CTL65563 CUL65562:DDH65563 DEH65562:DND65563 DOD65562:DWZ65563 DXZ65562:EGV65563 EHV65562:EQR65563 ERR65562:FAN65563 FBN65562:FKJ65563 FLJ65562:FUF65563 FVF65562:GEB65563 GFB65562:GNX65563 GOX65562:GXT65563 GYT65562:HHP65563 HIP65562:HRL65563 HSL65562:IBH65563 ICH65562:ILD65563 IMD65562:IUZ65563 IVZ65562:JEV65563 JFV65562:JOR65563 JPR65562:JYN65563 JZN65562:KIJ65563 KJJ65562:KSF65563 KTF65562:LCB65563 LDB65562:LLX65563 LMX65562:LVT65563 LWT65562:MFP65563 MGP65562:MPL65563 MQL65562:MZH65563 NAH65562:NJD65563 NKD65562:NSZ65563 NTZ65562:OCV65563 ODV65562:OMR65563 ONR65562:OWN65563 OXN65562:PGJ65563 PHJ65562:PQF65563 PRF65562:QAB65563 QBB65562:QJX65563 QKX65562:QTT65563 QUT65562:RDP65563 REP65562:RNL65563 ROL65562:RXH65563 RYH65562:SHD65563 SID65562:SQZ65563 SRZ65562:TAV65563 TBV65562:TKR65563 TLR65562:TUN65563 TVN65562:UEJ65563 UFJ65562:UOF65563 UPF65562:UYB65563 UZB65562:VHX65563 VIX65562:VRT65563 VST65562:WBP65563 WCP65562:WLL65563 WML65562:WVH65563 WWH65562:XFD65563 Z131098:IV131099 JV131098:SR131099 TR131098:ACN131099 ADN131098:AMJ131099 ANJ131098:AWF131099 AXF131098:BGB131099 BHB131098:BPX131099 BQX131098:BZT131099 CAT131098:CJP131099 CKP131098:CTL131099 CUL131098:DDH131099 DEH131098:DND131099 DOD131098:DWZ131099 DXZ131098:EGV131099 EHV131098:EQR131099 ERR131098:FAN131099 FBN131098:FKJ131099 FLJ131098:FUF131099 FVF131098:GEB131099 GFB131098:GNX131099 GOX131098:GXT131099 GYT131098:HHP131099 HIP131098:HRL131099 HSL131098:IBH131099 ICH131098:ILD131099 IMD131098:IUZ131099 IVZ131098:JEV131099 JFV131098:JOR131099 JPR131098:JYN131099 JZN131098:KIJ131099 KJJ131098:KSF131099 KTF131098:LCB131099 LDB131098:LLX131099 LMX131098:LVT131099 LWT131098:MFP131099 MGP131098:MPL131099 MQL131098:MZH131099 NAH131098:NJD131099 NKD131098:NSZ131099 NTZ131098:OCV131099 ODV131098:OMR131099 ONR131098:OWN131099 OXN131098:PGJ131099 PHJ131098:PQF131099 PRF131098:QAB131099 QBB131098:QJX131099 QKX131098:QTT131099 QUT131098:RDP131099 REP131098:RNL131099 ROL131098:RXH131099 RYH131098:SHD131099 SID131098:SQZ131099 SRZ131098:TAV131099 TBV131098:TKR131099 TLR131098:TUN131099 TVN131098:UEJ131099 UFJ131098:UOF131099 UPF131098:UYB131099 UZB131098:VHX131099 VIX131098:VRT131099 VST131098:WBP131099 WCP131098:WLL131099 WML131098:WVH131099 WWH131098:XFD131099 Z196634:IV196635 JV196634:SR196635 TR196634:ACN196635 ADN196634:AMJ196635 ANJ196634:AWF196635 AXF196634:BGB196635 BHB196634:BPX196635 BQX196634:BZT196635 CAT196634:CJP196635 CKP196634:CTL196635 CUL196634:DDH196635 DEH196634:DND196635 DOD196634:DWZ196635 DXZ196634:EGV196635 EHV196634:EQR196635 ERR196634:FAN196635 FBN196634:FKJ196635 FLJ196634:FUF196635 FVF196634:GEB196635 GFB196634:GNX196635 GOX196634:GXT196635 GYT196634:HHP196635 HIP196634:HRL196635 HSL196634:IBH196635 ICH196634:ILD196635 IMD196634:IUZ196635 IVZ196634:JEV196635 JFV196634:JOR196635 JPR196634:JYN196635 JZN196634:KIJ196635 KJJ196634:KSF196635 KTF196634:LCB196635 LDB196634:LLX196635 LMX196634:LVT196635 LWT196634:MFP196635 MGP196634:MPL196635 MQL196634:MZH196635 NAH196634:NJD196635 NKD196634:NSZ196635 NTZ196634:OCV196635 ODV196634:OMR196635 ONR196634:OWN196635 OXN196634:PGJ196635 PHJ196634:PQF196635 PRF196634:QAB196635 QBB196634:QJX196635 QKX196634:QTT196635 QUT196634:RDP196635 REP196634:RNL196635 ROL196634:RXH196635 RYH196634:SHD196635 SID196634:SQZ196635 SRZ196634:TAV196635 TBV196634:TKR196635 TLR196634:TUN196635 TVN196634:UEJ196635 UFJ196634:UOF196635 UPF196634:UYB196635 UZB196634:VHX196635 VIX196634:VRT196635 VST196634:WBP196635 WCP196634:WLL196635 WML196634:WVH196635 WWH196634:XFD196635 Z262170:IV262171 JV262170:SR262171 TR262170:ACN262171 ADN262170:AMJ262171 ANJ262170:AWF262171 AXF262170:BGB262171 BHB262170:BPX262171 BQX262170:BZT262171 CAT262170:CJP262171 CKP262170:CTL262171 CUL262170:DDH262171 DEH262170:DND262171 DOD262170:DWZ262171 DXZ262170:EGV262171 EHV262170:EQR262171 ERR262170:FAN262171 FBN262170:FKJ262171 FLJ262170:FUF262171 FVF262170:GEB262171 GFB262170:GNX262171 GOX262170:GXT262171 GYT262170:HHP262171 HIP262170:HRL262171 HSL262170:IBH262171 ICH262170:ILD262171 IMD262170:IUZ262171 IVZ262170:JEV262171 JFV262170:JOR262171 JPR262170:JYN262171 JZN262170:KIJ262171 KJJ262170:KSF262171 KTF262170:LCB262171 LDB262170:LLX262171 LMX262170:LVT262171 LWT262170:MFP262171 MGP262170:MPL262171 MQL262170:MZH262171 NAH262170:NJD262171 NKD262170:NSZ262171 NTZ262170:OCV262171 ODV262170:OMR262171 ONR262170:OWN262171 OXN262170:PGJ262171 PHJ262170:PQF262171 PRF262170:QAB262171 QBB262170:QJX262171 QKX262170:QTT262171 QUT262170:RDP262171 REP262170:RNL262171 ROL262170:RXH262171 RYH262170:SHD262171 SID262170:SQZ262171 SRZ262170:TAV262171 TBV262170:TKR262171 TLR262170:TUN262171 TVN262170:UEJ262171 UFJ262170:UOF262171 UPF262170:UYB262171 UZB262170:VHX262171 VIX262170:VRT262171 VST262170:WBP262171 WCP262170:WLL262171 WML262170:WVH262171 WWH262170:XFD262171 Z327706:IV327707 JV327706:SR327707 TR327706:ACN327707 ADN327706:AMJ327707 ANJ327706:AWF327707 AXF327706:BGB327707 BHB327706:BPX327707 BQX327706:BZT327707 CAT327706:CJP327707 CKP327706:CTL327707 CUL327706:DDH327707 DEH327706:DND327707 DOD327706:DWZ327707 DXZ327706:EGV327707 EHV327706:EQR327707 ERR327706:FAN327707 FBN327706:FKJ327707 FLJ327706:FUF327707 FVF327706:GEB327707 GFB327706:GNX327707 GOX327706:GXT327707 GYT327706:HHP327707 HIP327706:HRL327707 HSL327706:IBH327707 ICH327706:ILD327707 IMD327706:IUZ327707 IVZ327706:JEV327707 JFV327706:JOR327707 JPR327706:JYN327707 JZN327706:KIJ327707 KJJ327706:KSF327707 KTF327706:LCB327707 LDB327706:LLX327707 LMX327706:LVT327707 LWT327706:MFP327707 MGP327706:MPL327707 MQL327706:MZH327707 NAH327706:NJD327707 NKD327706:NSZ327707 NTZ327706:OCV327707 ODV327706:OMR327707 ONR327706:OWN327707 OXN327706:PGJ327707 PHJ327706:PQF327707 PRF327706:QAB327707 QBB327706:QJX327707 QKX327706:QTT327707 QUT327706:RDP327707 REP327706:RNL327707 ROL327706:RXH327707 RYH327706:SHD327707 SID327706:SQZ327707 SRZ327706:TAV327707 TBV327706:TKR327707 TLR327706:TUN327707 TVN327706:UEJ327707 UFJ327706:UOF327707 UPF327706:UYB327707 UZB327706:VHX327707 VIX327706:VRT327707 VST327706:WBP327707 WCP327706:WLL327707 WML327706:WVH327707 WWH327706:XFD327707 Z393242:IV393243 JV393242:SR393243 TR393242:ACN393243 ADN393242:AMJ393243 ANJ393242:AWF393243 AXF393242:BGB393243 BHB393242:BPX393243 BQX393242:BZT393243 CAT393242:CJP393243 CKP393242:CTL393243 CUL393242:DDH393243 DEH393242:DND393243 DOD393242:DWZ393243 DXZ393242:EGV393243 EHV393242:EQR393243 ERR393242:FAN393243 FBN393242:FKJ393243 FLJ393242:FUF393243 FVF393242:GEB393243 GFB393242:GNX393243 GOX393242:GXT393243 GYT393242:HHP393243 HIP393242:HRL393243 HSL393242:IBH393243 ICH393242:ILD393243 IMD393242:IUZ393243 IVZ393242:JEV393243 JFV393242:JOR393243 JPR393242:JYN393243 JZN393242:KIJ393243 KJJ393242:KSF393243 KTF393242:LCB393243 LDB393242:LLX393243 LMX393242:LVT393243 LWT393242:MFP393243 MGP393242:MPL393243 MQL393242:MZH393243 NAH393242:NJD393243 NKD393242:NSZ393243 NTZ393242:OCV393243 ODV393242:OMR393243 ONR393242:OWN393243 OXN393242:PGJ393243 PHJ393242:PQF393243 PRF393242:QAB393243 QBB393242:QJX393243 QKX393242:QTT393243 QUT393242:RDP393243 REP393242:RNL393243 ROL393242:RXH393243 RYH393242:SHD393243 SID393242:SQZ393243 SRZ393242:TAV393243 TBV393242:TKR393243 TLR393242:TUN393243 TVN393242:UEJ393243 UFJ393242:UOF393243 UPF393242:UYB393243 UZB393242:VHX393243 VIX393242:VRT393243 VST393242:WBP393243 WCP393242:WLL393243 WML393242:WVH393243 WWH393242:XFD393243 Z458778:IV458779 JV458778:SR458779 TR458778:ACN458779 ADN458778:AMJ458779 ANJ458778:AWF458779 AXF458778:BGB458779 BHB458778:BPX458779 BQX458778:BZT458779 CAT458778:CJP458779 CKP458778:CTL458779 CUL458778:DDH458779 DEH458778:DND458779 DOD458778:DWZ458779 DXZ458778:EGV458779 EHV458778:EQR458779 ERR458778:FAN458779 FBN458778:FKJ458779 FLJ458778:FUF458779 FVF458778:GEB458779 GFB458778:GNX458779 GOX458778:GXT458779 GYT458778:HHP458779 HIP458778:HRL458779 HSL458778:IBH458779 ICH458778:ILD458779 IMD458778:IUZ458779 IVZ458778:JEV458779 JFV458778:JOR458779 JPR458778:JYN458779 JZN458778:KIJ458779 KJJ458778:KSF458779 KTF458778:LCB458779 LDB458778:LLX458779 LMX458778:LVT458779 LWT458778:MFP458779 MGP458778:MPL458779 MQL458778:MZH458779 NAH458778:NJD458779 NKD458778:NSZ458779 NTZ458778:OCV458779 ODV458778:OMR458779 ONR458778:OWN458779 OXN458778:PGJ458779 PHJ458778:PQF458779 PRF458778:QAB458779 QBB458778:QJX458779 QKX458778:QTT458779 QUT458778:RDP458779 REP458778:RNL458779 ROL458778:RXH458779 RYH458778:SHD458779 SID458778:SQZ458779 SRZ458778:TAV458779 TBV458778:TKR458779 TLR458778:TUN458779 TVN458778:UEJ458779 UFJ458778:UOF458779 UPF458778:UYB458779 UZB458778:VHX458779 VIX458778:VRT458779 VST458778:WBP458779 WCP458778:WLL458779 WML458778:WVH458779 WWH458778:XFD458779 Z524314:IV524315 JV524314:SR524315 TR524314:ACN524315 ADN524314:AMJ524315 ANJ524314:AWF524315 AXF524314:BGB524315 BHB524314:BPX524315 BQX524314:BZT524315 CAT524314:CJP524315 CKP524314:CTL524315 CUL524314:DDH524315 DEH524314:DND524315 DOD524314:DWZ524315 DXZ524314:EGV524315 EHV524314:EQR524315 ERR524314:FAN524315 FBN524314:FKJ524315 FLJ524314:FUF524315 FVF524314:GEB524315 GFB524314:GNX524315 GOX524314:GXT524315 GYT524314:HHP524315 HIP524314:HRL524315 HSL524314:IBH524315 ICH524314:ILD524315 IMD524314:IUZ524315 IVZ524314:JEV524315 JFV524314:JOR524315 JPR524314:JYN524315 JZN524314:KIJ524315 KJJ524314:KSF524315 KTF524314:LCB524315 LDB524314:LLX524315 LMX524314:LVT524315 LWT524314:MFP524315 MGP524314:MPL524315 MQL524314:MZH524315 NAH524314:NJD524315 NKD524314:NSZ524315 NTZ524314:OCV524315 ODV524314:OMR524315 ONR524314:OWN524315 OXN524314:PGJ524315 PHJ524314:PQF524315 PRF524314:QAB524315 QBB524314:QJX524315 QKX524314:QTT524315 QUT524314:RDP524315 REP524314:RNL524315 ROL524314:RXH524315 RYH524314:SHD524315 SID524314:SQZ524315 SRZ524314:TAV524315 TBV524314:TKR524315 TLR524314:TUN524315 TVN524314:UEJ524315 UFJ524314:UOF524315 UPF524314:UYB524315 UZB524314:VHX524315 VIX524314:VRT524315 VST524314:WBP524315 WCP524314:WLL524315 WML524314:WVH524315 WWH524314:XFD524315 Z589850:IV589851 JV589850:SR589851 TR589850:ACN589851 ADN589850:AMJ589851 ANJ589850:AWF589851 AXF589850:BGB589851 BHB589850:BPX589851 BQX589850:BZT589851 CAT589850:CJP589851 CKP589850:CTL589851 CUL589850:DDH589851 DEH589850:DND589851 DOD589850:DWZ589851 DXZ589850:EGV589851 EHV589850:EQR589851 ERR589850:FAN589851 FBN589850:FKJ589851 FLJ589850:FUF589851 FVF589850:GEB589851 GFB589850:GNX589851 GOX589850:GXT589851 GYT589850:HHP589851 HIP589850:HRL589851 HSL589850:IBH589851 ICH589850:ILD589851 IMD589850:IUZ589851 IVZ589850:JEV589851 JFV589850:JOR589851 JPR589850:JYN589851 JZN589850:KIJ589851 KJJ589850:KSF589851 KTF589850:LCB589851 LDB589850:LLX589851 LMX589850:LVT589851 LWT589850:MFP589851 MGP589850:MPL589851 MQL589850:MZH589851 NAH589850:NJD589851 NKD589850:NSZ589851 NTZ589850:OCV589851 ODV589850:OMR589851 ONR589850:OWN589851 OXN589850:PGJ589851 PHJ589850:PQF589851 PRF589850:QAB589851 QBB589850:QJX589851 QKX589850:QTT589851 QUT589850:RDP589851 REP589850:RNL589851 ROL589850:RXH589851 RYH589850:SHD589851 SID589850:SQZ589851 SRZ589850:TAV589851 TBV589850:TKR589851 TLR589850:TUN589851 TVN589850:UEJ589851 UFJ589850:UOF589851 UPF589850:UYB589851 UZB589850:VHX589851 VIX589850:VRT589851 VST589850:WBP589851 WCP589850:WLL589851 WML589850:WVH589851 WWH589850:XFD589851 Z655386:IV655387 JV655386:SR655387 TR655386:ACN655387 ADN655386:AMJ655387 ANJ655386:AWF655387 AXF655386:BGB655387 BHB655386:BPX655387 BQX655386:BZT655387 CAT655386:CJP655387 CKP655386:CTL655387 CUL655386:DDH655387 DEH655386:DND655387 DOD655386:DWZ655387 DXZ655386:EGV655387 EHV655386:EQR655387 ERR655386:FAN655387 FBN655386:FKJ655387 FLJ655386:FUF655387 FVF655386:GEB655387 GFB655386:GNX655387 GOX655386:GXT655387 GYT655386:HHP655387 HIP655386:HRL655387 HSL655386:IBH655387 ICH655386:ILD655387 IMD655386:IUZ655387 IVZ655386:JEV655387 JFV655386:JOR655387 JPR655386:JYN655387 JZN655386:KIJ655387 KJJ655386:KSF655387 KTF655386:LCB655387 LDB655386:LLX655387 LMX655386:LVT655387 LWT655386:MFP655387 MGP655386:MPL655387 MQL655386:MZH655387 NAH655386:NJD655387 NKD655386:NSZ655387 NTZ655386:OCV655387 ODV655386:OMR655387 ONR655386:OWN655387 OXN655386:PGJ655387 PHJ655386:PQF655387 PRF655386:QAB655387 QBB655386:QJX655387 QKX655386:QTT655387 QUT655386:RDP655387 REP655386:RNL655387 ROL655386:RXH655387 RYH655386:SHD655387 SID655386:SQZ655387 SRZ655386:TAV655387 TBV655386:TKR655387 TLR655386:TUN655387 TVN655386:UEJ655387 UFJ655386:UOF655387 UPF655386:UYB655387 UZB655386:VHX655387 VIX655386:VRT655387 VST655386:WBP655387 WCP655386:WLL655387 WML655386:WVH655387 WWH655386:XFD655387 Z720922:IV720923 JV720922:SR720923 TR720922:ACN720923 ADN720922:AMJ720923 ANJ720922:AWF720923 AXF720922:BGB720923 BHB720922:BPX720923 BQX720922:BZT720923 CAT720922:CJP720923 CKP720922:CTL720923 CUL720922:DDH720923 DEH720922:DND720923 DOD720922:DWZ720923 DXZ720922:EGV720923 EHV720922:EQR720923 ERR720922:FAN720923 FBN720922:FKJ720923 FLJ720922:FUF720923 FVF720922:GEB720923 GFB720922:GNX720923 GOX720922:GXT720923 GYT720922:HHP720923 HIP720922:HRL720923 HSL720922:IBH720923 ICH720922:ILD720923 IMD720922:IUZ720923 IVZ720922:JEV720923 JFV720922:JOR720923 JPR720922:JYN720923 JZN720922:KIJ720923 KJJ720922:KSF720923 KTF720922:LCB720923 LDB720922:LLX720923 LMX720922:LVT720923 LWT720922:MFP720923 MGP720922:MPL720923 MQL720922:MZH720923 NAH720922:NJD720923 NKD720922:NSZ720923 NTZ720922:OCV720923 ODV720922:OMR720923 ONR720922:OWN720923 OXN720922:PGJ720923 PHJ720922:PQF720923 PRF720922:QAB720923 QBB720922:QJX720923 QKX720922:QTT720923 QUT720922:RDP720923 REP720922:RNL720923 ROL720922:RXH720923 RYH720922:SHD720923 SID720922:SQZ720923 SRZ720922:TAV720923 TBV720922:TKR720923 TLR720922:TUN720923 TVN720922:UEJ720923 UFJ720922:UOF720923 UPF720922:UYB720923 UZB720922:VHX720923 VIX720922:VRT720923 VST720922:WBP720923 WCP720922:WLL720923 WML720922:WVH720923 WWH720922:XFD720923 Z786458:IV786459 JV786458:SR786459 TR786458:ACN786459 ADN786458:AMJ786459 ANJ786458:AWF786459 AXF786458:BGB786459 BHB786458:BPX786459 BQX786458:BZT786459 CAT786458:CJP786459 CKP786458:CTL786459 CUL786458:DDH786459 DEH786458:DND786459 DOD786458:DWZ786459 DXZ786458:EGV786459 EHV786458:EQR786459 ERR786458:FAN786459 FBN786458:FKJ786459 FLJ786458:FUF786459 FVF786458:GEB786459 GFB786458:GNX786459 GOX786458:GXT786459 GYT786458:HHP786459 HIP786458:HRL786459 HSL786458:IBH786459 ICH786458:ILD786459 IMD786458:IUZ786459 IVZ786458:JEV786459 JFV786458:JOR786459 JPR786458:JYN786459 JZN786458:KIJ786459 KJJ786458:KSF786459 KTF786458:LCB786459 LDB786458:LLX786459 LMX786458:LVT786459 LWT786458:MFP786459 MGP786458:MPL786459 MQL786458:MZH786459 NAH786458:NJD786459 NKD786458:NSZ786459 NTZ786458:OCV786459 ODV786458:OMR786459 ONR786458:OWN786459 OXN786458:PGJ786459 PHJ786458:PQF786459 PRF786458:QAB786459 QBB786458:QJX786459 QKX786458:QTT786459 QUT786458:RDP786459 REP786458:RNL786459 ROL786458:RXH786459 RYH786458:SHD786459 SID786458:SQZ786459 SRZ786458:TAV786459 TBV786458:TKR786459 TLR786458:TUN786459 TVN786458:UEJ786459 UFJ786458:UOF786459 UPF786458:UYB786459 UZB786458:VHX786459 VIX786458:VRT786459 VST786458:WBP786459 WCP786458:WLL786459 WML786458:WVH786459 WWH786458:XFD786459 Z851994:IV851995 JV851994:SR851995 TR851994:ACN851995 ADN851994:AMJ851995 ANJ851994:AWF851995 AXF851994:BGB851995 BHB851994:BPX851995 BQX851994:BZT851995 CAT851994:CJP851995 CKP851994:CTL851995 CUL851994:DDH851995 DEH851994:DND851995 DOD851994:DWZ851995 DXZ851994:EGV851995 EHV851994:EQR851995 ERR851994:FAN851995 FBN851994:FKJ851995 FLJ851994:FUF851995 FVF851994:GEB851995 GFB851994:GNX851995 GOX851994:GXT851995 GYT851994:HHP851995 HIP851994:HRL851995 HSL851994:IBH851995 ICH851994:ILD851995 IMD851994:IUZ851995 IVZ851994:JEV851995 JFV851994:JOR851995 JPR851994:JYN851995 JZN851994:KIJ851995 KJJ851994:KSF851995 KTF851994:LCB851995 LDB851994:LLX851995 LMX851994:LVT851995 LWT851994:MFP851995 MGP851994:MPL851995 MQL851994:MZH851995 NAH851994:NJD851995 NKD851994:NSZ851995 NTZ851994:OCV851995 ODV851994:OMR851995 ONR851994:OWN851995 OXN851994:PGJ851995 PHJ851994:PQF851995 PRF851994:QAB851995 QBB851994:QJX851995 QKX851994:QTT851995 QUT851994:RDP851995 REP851994:RNL851995 ROL851994:RXH851995 RYH851994:SHD851995 SID851994:SQZ851995 SRZ851994:TAV851995 TBV851994:TKR851995 TLR851994:TUN851995 TVN851994:UEJ851995 UFJ851994:UOF851995 UPF851994:UYB851995 UZB851994:VHX851995 VIX851994:VRT851995 VST851994:WBP851995 WCP851994:WLL851995 WML851994:WVH851995 WWH851994:XFD851995 Z917530:IV917531 JV917530:SR917531 TR917530:ACN917531 ADN917530:AMJ917531 ANJ917530:AWF917531 AXF917530:BGB917531 BHB917530:BPX917531 BQX917530:BZT917531 CAT917530:CJP917531 CKP917530:CTL917531 CUL917530:DDH917531 DEH917530:DND917531 DOD917530:DWZ917531 DXZ917530:EGV917531 EHV917530:EQR917531 ERR917530:FAN917531 FBN917530:FKJ917531 FLJ917530:FUF917531 FVF917530:GEB917531 GFB917530:GNX917531 GOX917530:GXT917531 GYT917530:HHP917531 HIP917530:HRL917531 HSL917530:IBH917531 ICH917530:ILD917531 IMD917530:IUZ917531 IVZ917530:JEV917531 JFV917530:JOR917531 JPR917530:JYN917531 JZN917530:KIJ917531 KJJ917530:KSF917531 KTF917530:LCB917531 LDB917530:LLX917531 LMX917530:LVT917531 LWT917530:MFP917531 MGP917530:MPL917531 MQL917530:MZH917531 NAH917530:NJD917531 NKD917530:NSZ917531 NTZ917530:OCV917531 ODV917530:OMR917531 ONR917530:OWN917531 OXN917530:PGJ917531 PHJ917530:PQF917531 PRF917530:QAB917531 QBB917530:QJX917531 QKX917530:QTT917531 QUT917530:RDP917531 REP917530:RNL917531 ROL917530:RXH917531 RYH917530:SHD917531 SID917530:SQZ917531 SRZ917530:TAV917531 TBV917530:TKR917531 TLR917530:TUN917531 TVN917530:UEJ917531 UFJ917530:UOF917531 UPF917530:UYB917531 UZB917530:VHX917531 VIX917530:VRT917531 VST917530:WBP917531 WCP917530:WLL917531 WML917530:WVH917531 WWH917530:XFD917531 Z983066:IV983067 JV983066:SR983067 TR983066:ACN983067 ADN983066:AMJ983067 ANJ983066:AWF983067 AXF983066:BGB983067 BHB983066:BPX983067 BQX983066:BZT983067 CAT983066:CJP983067 CKP983066:CTL983067 CUL983066:DDH983067 DEH983066:DND983067 DOD983066:DWZ983067 DXZ983066:EGV983067 EHV983066:EQR983067 ERR983066:FAN983067 FBN983066:FKJ983067 FLJ983066:FUF983067 FVF983066:GEB983067 GFB983066:GNX983067 GOX983066:GXT983067 GYT983066:HHP983067 HIP983066:HRL983067 HSL983066:IBH983067 ICH983066:ILD983067 IMD983066:IUZ983067 IVZ983066:JEV983067 JFV983066:JOR983067 JPR983066:JYN983067 JZN983066:KIJ983067 KJJ983066:KSF983067 KTF983066:LCB983067 LDB983066:LLX983067 LMX983066:LVT983067 LWT983066:MFP983067 MGP983066:MPL983067 MQL983066:MZH983067 NAH983066:NJD983067 NKD983066:NSZ983067 NTZ983066:OCV983067 ODV983066:OMR983067 ONR983066:OWN983067 OXN983066:PGJ983067 PHJ983066:PQF983067 PRF983066:QAB983067 QBB983066:QJX983067 QKX983066:QTT983067 QUT983066:RDP983067 REP983066:RNL983067 ROL983066:RXH983067 RYH983066:SHD983067 SID983066:SQZ983067 SRZ983066:TAV983067 TBV983066:TKR983067 TLR983066:TUN983067 TVN983066:UEJ983067 UFJ983066:UOF983067 UPF983066:UYB983067 UZB983066:VHX983067 VIX983066:VRT983067 VST983066:WBP983067 WCP983066:WLL983067 WML983066:WVH983067 WWH983066:XFD983067 P26:S27 JL26:JO27 TH26:TK27 ADD26:ADG27 AMZ26:ANC27 AWV26:AWY27 BGR26:BGU27 BQN26:BQQ27 CAJ26:CAM27 CKF26:CKI27 CUB26:CUE27 DDX26:DEA27 DNT26:DNW27 DXP26:DXS27 EHL26:EHO27 ERH26:ERK27 FBD26:FBG27 FKZ26:FLC27 FUV26:FUY27 GER26:GEU27 GON26:GOQ27 GYJ26:GYM27 HIF26:HII27 HSB26:HSE27 IBX26:ICA27 ILT26:ILW27 IVP26:IVS27 JFL26:JFO27 JPH26:JPK27 JZD26:JZG27 KIZ26:KJC27 KSV26:KSY27 LCR26:LCU27 LMN26:LMQ27 LWJ26:LWM27 MGF26:MGI27 MQB26:MQE27 MZX26:NAA27 NJT26:NJW27 NTP26:NTS27 ODL26:ODO27 ONH26:ONK27 OXD26:OXG27 PGZ26:PHC27 PQV26:PQY27 QAR26:QAU27 QKN26:QKQ27 QUJ26:QUM27 REF26:REI27 ROB26:ROE27 RXX26:RYA27 SHT26:SHW27 SRP26:SRS27 TBL26:TBO27 TLH26:TLK27 TVD26:TVG27 UEZ26:UFC27 UOV26:UOY27 UYR26:UYU27 VIN26:VIQ27 VSJ26:VSM27 WCF26:WCI27 WMB26:WME27 WVX26:WWA27 P65562:S65563 JL65562:JO65563 TH65562:TK65563 ADD65562:ADG65563 AMZ65562:ANC65563 AWV65562:AWY65563 BGR65562:BGU65563 BQN65562:BQQ65563 CAJ65562:CAM65563 CKF65562:CKI65563 CUB65562:CUE65563 DDX65562:DEA65563 DNT65562:DNW65563 DXP65562:DXS65563 EHL65562:EHO65563 ERH65562:ERK65563 FBD65562:FBG65563 FKZ65562:FLC65563 FUV65562:FUY65563 GER65562:GEU65563 GON65562:GOQ65563 GYJ65562:GYM65563 HIF65562:HII65563 HSB65562:HSE65563 IBX65562:ICA65563 ILT65562:ILW65563 IVP65562:IVS65563 JFL65562:JFO65563 JPH65562:JPK65563 JZD65562:JZG65563 KIZ65562:KJC65563 KSV65562:KSY65563 LCR65562:LCU65563 LMN65562:LMQ65563 LWJ65562:LWM65563 MGF65562:MGI65563 MQB65562:MQE65563 MZX65562:NAA65563 NJT65562:NJW65563 NTP65562:NTS65563 ODL65562:ODO65563 ONH65562:ONK65563 OXD65562:OXG65563 PGZ65562:PHC65563 PQV65562:PQY65563 QAR65562:QAU65563 QKN65562:QKQ65563 QUJ65562:QUM65563 REF65562:REI65563 ROB65562:ROE65563 RXX65562:RYA65563 SHT65562:SHW65563 SRP65562:SRS65563 TBL65562:TBO65563 TLH65562:TLK65563 TVD65562:TVG65563 UEZ65562:UFC65563 UOV65562:UOY65563 UYR65562:UYU65563 VIN65562:VIQ65563 VSJ65562:VSM65563 WCF65562:WCI65563 WMB65562:WME65563 WVX65562:WWA65563 P131098:S131099 JL131098:JO131099 TH131098:TK131099 ADD131098:ADG131099 AMZ131098:ANC131099 AWV131098:AWY131099 BGR131098:BGU131099 BQN131098:BQQ131099 CAJ131098:CAM131099 CKF131098:CKI131099 CUB131098:CUE131099 DDX131098:DEA131099 DNT131098:DNW131099 DXP131098:DXS131099 EHL131098:EHO131099 ERH131098:ERK131099 FBD131098:FBG131099 FKZ131098:FLC131099 FUV131098:FUY131099 GER131098:GEU131099 GON131098:GOQ131099 GYJ131098:GYM131099 HIF131098:HII131099 HSB131098:HSE131099 IBX131098:ICA131099 ILT131098:ILW131099 IVP131098:IVS131099 JFL131098:JFO131099 JPH131098:JPK131099 JZD131098:JZG131099 KIZ131098:KJC131099 KSV131098:KSY131099 LCR131098:LCU131099 LMN131098:LMQ131099 LWJ131098:LWM131099 MGF131098:MGI131099 MQB131098:MQE131099 MZX131098:NAA131099 NJT131098:NJW131099 NTP131098:NTS131099 ODL131098:ODO131099 ONH131098:ONK131099 OXD131098:OXG131099 PGZ131098:PHC131099 PQV131098:PQY131099 QAR131098:QAU131099 QKN131098:QKQ131099 QUJ131098:QUM131099 REF131098:REI131099 ROB131098:ROE131099 RXX131098:RYA131099 SHT131098:SHW131099 SRP131098:SRS131099 TBL131098:TBO131099 TLH131098:TLK131099 TVD131098:TVG131099 UEZ131098:UFC131099 UOV131098:UOY131099 UYR131098:UYU131099 VIN131098:VIQ131099 VSJ131098:VSM131099 WCF131098:WCI131099 WMB131098:WME131099 WVX131098:WWA131099 P196634:S196635 JL196634:JO196635 TH196634:TK196635 ADD196634:ADG196635 AMZ196634:ANC196635 AWV196634:AWY196635 BGR196634:BGU196635 BQN196634:BQQ196635 CAJ196634:CAM196635 CKF196634:CKI196635 CUB196634:CUE196635 DDX196634:DEA196635 DNT196634:DNW196635 DXP196634:DXS196635 EHL196634:EHO196635 ERH196634:ERK196635 FBD196634:FBG196635 FKZ196634:FLC196635 FUV196634:FUY196635 GER196634:GEU196635 GON196634:GOQ196635 GYJ196634:GYM196635 HIF196634:HII196635 HSB196634:HSE196635 IBX196634:ICA196635 ILT196634:ILW196635 IVP196634:IVS196635 JFL196634:JFO196635 JPH196634:JPK196635 JZD196634:JZG196635 KIZ196634:KJC196635 KSV196634:KSY196635 LCR196634:LCU196635 LMN196634:LMQ196635 LWJ196634:LWM196635 MGF196634:MGI196635 MQB196634:MQE196635 MZX196634:NAA196635 NJT196634:NJW196635 NTP196634:NTS196635 ODL196634:ODO196635 ONH196634:ONK196635 OXD196634:OXG196635 PGZ196634:PHC196635 PQV196634:PQY196635 QAR196634:QAU196635 QKN196634:QKQ196635 QUJ196634:QUM196635 REF196634:REI196635 ROB196634:ROE196635 RXX196634:RYA196635 SHT196634:SHW196635 SRP196634:SRS196635 TBL196634:TBO196635 TLH196634:TLK196635 TVD196634:TVG196635 UEZ196634:UFC196635 UOV196634:UOY196635 UYR196634:UYU196635 VIN196634:VIQ196635 VSJ196634:VSM196635 WCF196634:WCI196635 WMB196634:WME196635 WVX196634:WWA196635 P262170:S262171 JL262170:JO262171 TH262170:TK262171 ADD262170:ADG262171 AMZ262170:ANC262171 AWV262170:AWY262171 BGR262170:BGU262171 BQN262170:BQQ262171 CAJ262170:CAM262171 CKF262170:CKI262171 CUB262170:CUE262171 DDX262170:DEA262171 DNT262170:DNW262171 DXP262170:DXS262171 EHL262170:EHO262171 ERH262170:ERK262171 FBD262170:FBG262171 FKZ262170:FLC262171 FUV262170:FUY262171 GER262170:GEU262171 GON262170:GOQ262171 GYJ262170:GYM262171 HIF262170:HII262171 HSB262170:HSE262171 IBX262170:ICA262171 ILT262170:ILW262171 IVP262170:IVS262171 JFL262170:JFO262171 JPH262170:JPK262171 JZD262170:JZG262171 KIZ262170:KJC262171 KSV262170:KSY262171 LCR262170:LCU262171 LMN262170:LMQ262171 LWJ262170:LWM262171 MGF262170:MGI262171 MQB262170:MQE262171 MZX262170:NAA262171 NJT262170:NJW262171 NTP262170:NTS262171 ODL262170:ODO262171 ONH262170:ONK262171 OXD262170:OXG262171 PGZ262170:PHC262171 PQV262170:PQY262171 QAR262170:QAU262171 QKN262170:QKQ262171 QUJ262170:QUM262171 REF262170:REI262171 ROB262170:ROE262171 RXX262170:RYA262171 SHT262170:SHW262171 SRP262170:SRS262171 TBL262170:TBO262171 TLH262170:TLK262171 TVD262170:TVG262171 UEZ262170:UFC262171 UOV262170:UOY262171 UYR262170:UYU262171 VIN262170:VIQ262171 VSJ262170:VSM262171 WCF262170:WCI262171 WMB262170:WME262171 WVX262170:WWA262171 P327706:S327707 JL327706:JO327707 TH327706:TK327707 ADD327706:ADG327707 AMZ327706:ANC327707 AWV327706:AWY327707 BGR327706:BGU327707 BQN327706:BQQ327707 CAJ327706:CAM327707 CKF327706:CKI327707 CUB327706:CUE327707 DDX327706:DEA327707 DNT327706:DNW327707 DXP327706:DXS327707 EHL327706:EHO327707 ERH327706:ERK327707 FBD327706:FBG327707 FKZ327706:FLC327707 FUV327706:FUY327707 GER327706:GEU327707 GON327706:GOQ327707 GYJ327706:GYM327707 HIF327706:HII327707 HSB327706:HSE327707 IBX327706:ICA327707 ILT327706:ILW327707 IVP327706:IVS327707 JFL327706:JFO327707 JPH327706:JPK327707 JZD327706:JZG327707 KIZ327706:KJC327707 KSV327706:KSY327707 LCR327706:LCU327707 LMN327706:LMQ327707 LWJ327706:LWM327707 MGF327706:MGI327707 MQB327706:MQE327707 MZX327706:NAA327707 NJT327706:NJW327707 NTP327706:NTS327707 ODL327706:ODO327707 ONH327706:ONK327707 OXD327706:OXG327707 PGZ327706:PHC327707 PQV327706:PQY327707 QAR327706:QAU327707 QKN327706:QKQ327707 QUJ327706:QUM327707 REF327706:REI327707 ROB327706:ROE327707 RXX327706:RYA327707 SHT327706:SHW327707 SRP327706:SRS327707 TBL327706:TBO327707 TLH327706:TLK327707 TVD327706:TVG327707 UEZ327706:UFC327707 UOV327706:UOY327707 UYR327706:UYU327707 VIN327706:VIQ327707 VSJ327706:VSM327707 WCF327706:WCI327707 WMB327706:WME327707 WVX327706:WWA327707 P393242:S393243 JL393242:JO393243 TH393242:TK393243 ADD393242:ADG393243 AMZ393242:ANC393243 AWV393242:AWY393243 BGR393242:BGU393243 BQN393242:BQQ393243 CAJ393242:CAM393243 CKF393242:CKI393243 CUB393242:CUE393243 DDX393242:DEA393243 DNT393242:DNW393243 DXP393242:DXS393243 EHL393242:EHO393243 ERH393242:ERK393243 FBD393242:FBG393243 FKZ393242:FLC393243 FUV393242:FUY393243 GER393242:GEU393243 GON393242:GOQ393243 GYJ393242:GYM393243 HIF393242:HII393243 HSB393242:HSE393243 IBX393242:ICA393243 ILT393242:ILW393243 IVP393242:IVS393243 JFL393242:JFO393243 JPH393242:JPK393243 JZD393242:JZG393243 KIZ393242:KJC393243 KSV393242:KSY393243 LCR393242:LCU393243 LMN393242:LMQ393243 LWJ393242:LWM393243 MGF393242:MGI393243 MQB393242:MQE393243 MZX393242:NAA393243 NJT393242:NJW393243 NTP393242:NTS393243 ODL393242:ODO393243 ONH393242:ONK393243 OXD393242:OXG393243 PGZ393242:PHC393243 PQV393242:PQY393243 QAR393242:QAU393243 QKN393242:QKQ393243 QUJ393242:QUM393243 REF393242:REI393243 ROB393242:ROE393243 RXX393242:RYA393243 SHT393242:SHW393243 SRP393242:SRS393243 TBL393242:TBO393243 TLH393242:TLK393243 TVD393242:TVG393243 UEZ393242:UFC393243 UOV393242:UOY393243 UYR393242:UYU393243 VIN393242:VIQ393243 VSJ393242:VSM393243 WCF393242:WCI393243 WMB393242:WME393243 WVX393242:WWA393243 P458778:S458779 JL458778:JO458779 TH458778:TK458779 ADD458778:ADG458779 AMZ458778:ANC458779 AWV458778:AWY458779 BGR458778:BGU458779 BQN458778:BQQ458779 CAJ458778:CAM458779 CKF458778:CKI458779 CUB458778:CUE458779 DDX458778:DEA458779 DNT458778:DNW458779 DXP458778:DXS458779 EHL458778:EHO458779 ERH458778:ERK458779 FBD458778:FBG458779 FKZ458778:FLC458779 FUV458778:FUY458779 GER458778:GEU458779 GON458778:GOQ458779 GYJ458778:GYM458779 HIF458778:HII458779 HSB458778:HSE458779 IBX458778:ICA458779 ILT458778:ILW458779 IVP458778:IVS458779 JFL458778:JFO458779 JPH458778:JPK458779 JZD458778:JZG458779 KIZ458778:KJC458779 KSV458778:KSY458779 LCR458778:LCU458779 LMN458778:LMQ458779 LWJ458778:LWM458779 MGF458778:MGI458779 MQB458778:MQE458779 MZX458778:NAA458779 NJT458778:NJW458779 NTP458778:NTS458779 ODL458778:ODO458779 ONH458778:ONK458779 OXD458778:OXG458779 PGZ458778:PHC458779 PQV458778:PQY458779 QAR458778:QAU458779 QKN458778:QKQ458779 QUJ458778:QUM458779 REF458778:REI458779 ROB458778:ROE458779 RXX458778:RYA458779 SHT458778:SHW458779 SRP458778:SRS458779 TBL458778:TBO458779 TLH458778:TLK458779 TVD458778:TVG458779 UEZ458778:UFC458779 UOV458778:UOY458779 UYR458778:UYU458779 VIN458778:VIQ458779 VSJ458778:VSM458779 WCF458778:WCI458779 WMB458778:WME458779 WVX458778:WWA458779 P524314:S524315 JL524314:JO524315 TH524314:TK524315 ADD524314:ADG524315 AMZ524314:ANC524315 AWV524314:AWY524315 BGR524314:BGU524315 BQN524314:BQQ524315 CAJ524314:CAM524315 CKF524314:CKI524315 CUB524314:CUE524315 DDX524314:DEA524315 DNT524314:DNW524315 DXP524314:DXS524315 EHL524314:EHO524315 ERH524314:ERK524315 FBD524314:FBG524315 FKZ524314:FLC524315 FUV524314:FUY524315 GER524314:GEU524315 GON524314:GOQ524315 GYJ524314:GYM524315 HIF524314:HII524315 HSB524314:HSE524315 IBX524314:ICA524315 ILT524314:ILW524315 IVP524314:IVS524315 JFL524314:JFO524315 JPH524314:JPK524315 JZD524314:JZG524315 KIZ524314:KJC524315 KSV524314:KSY524315 LCR524314:LCU524315 LMN524314:LMQ524315 LWJ524314:LWM524315 MGF524314:MGI524315 MQB524314:MQE524315 MZX524314:NAA524315 NJT524314:NJW524315 NTP524314:NTS524315 ODL524314:ODO524315 ONH524314:ONK524315 OXD524314:OXG524315 PGZ524314:PHC524315 PQV524314:PQY524315 QAR524314:QAU524315 QKN524314:QKQ524315 QUJ524314:QUM524315 REF524314:REI524315 ROB524314:ROE524315 RXX524314:RYA524315 SHT524314:SHW524315 SRP524314:SRS524315 TBL524314:TBO524315 TLH524314:TLK524315 TVD524314:TVG524315 UEZ524314:UFC524315 UOV524314:UOY524315 UYR524314:UYU524315 VIN524314:VIQ524315 VSJ524314:VSM524315 WCF524314:WCI524315 WMB524314:WME524315 WVX524314:WWA524315 P589850:S589851 JL589850:JO589851 TH589850:TK589851 ADD589850:ADG589851 AMZ589850:ANC589851 AWV589850:AWY589851 BGR589850:BGU589851 BQN589850:BQQ589851 CAJ589850:CAM589851 CKF589850:CKI589851 CUB589850:CUE589851 DDX589850:DEA589851 DNT589850:DNW589851 DXP589850:DXS589851 EHL589850:EHO589851 ERH589850:ERK589851 FBD589850:FBG589851 FKZ589850:FLC589851 FUV589850:FUY589851 GER589850:GEU589851 GON589850:GOQ589851 GYJ589850:GYM589851 HIF589850:HII589851 HSB589850:HSE589851 IBX589850:ICA589851 ILT589850:ILW589851 IVP589850:IVS589851 JFL589850:JFO589851 JPH589850:JPK589851 JZD589850:JZG589851 KIZ589850:KJC589851 KSV589850:KSY589851 LCR589850:LCU589851 LMN589850:LMQ589851 LWJ589850:LWM589851 MGF589850:MGI589851 MQB589850:MQE589851 MZX589850:NAA589851 NJT589850:NJW589851 NTP589850:NTS589851 ODL589850:ODO589851 ONH589850:ONK589851 OXD589850:OXG589851 PGZ589850:PHC589851 PQV589850:PQY589851 QAR589850:QAU589851 QKN589850:QKQ589851 QUJ589850:QUM589851 REF589850:REI589851 ROB589850:ROE589851 RXX589850:RYA589851 SHT589850:SHW589851 SRP589850:SRS589851 TBL589850:TBO589851 TLH589850:TLK589851 TVD589850:TVG589851 UEZ589850:UFC589851 UOV589850:UOY589851 UYR589850:UYU589851 VIN589850:VIQ589851 VSJ589850:VSM589851 WCF589850:WCI589851 WMB589850:WME589851 WVX589850:WWA589851 P655386:S655387 JL655386:JO655387 TH655386:TK655387 ADD655386:ADG655387 AMZ655386:ANC655387 AWV655386:AWY655387 BGR655386:BGU655387 BQN655386:BQQ655387 CAJ655386:CAM655387 CKF655386:CKI655387 CUB655386:CUE655387 DDX655386:DEA655387 DNT655386:DNW655387 DXP655386:DXS655387 EHL655386:EHO655387 ERH655386:ERK655387 FBD655386:FBG655387 FKZ655386:FLC655387 FUV655386:FUY655387 GER655386:GEU655387 GON655386:GOQ655387 GYJ655386:GYM655387 HIF655386:HII655387 HSB655386:HSE655387 IBX655386:ICA655387 ILT655386:ILW655387 IVP655386:IVS655387 JFL655386:JFO655387 JPH655386:JPK655387 JZD655386:JZG655387 KIZ655386:KJC655387 KSV655386:KSY655387 LCR655386:LCU655387 LMN655386:LMQ655387 LWJ655386:LWM655387 MGF655386:MGI655387 MQB655386:MQE655387 MZX655386:NAA655387 NJT655386:NJW655387 NTP655386:NTS655387 ODL655386:ODO655387 ONH655386:ONK655387 OXD655386:OXG655387 PGZ655386:PHC655387 PQV655386:PQY655387 QAR655386:QAU655387 QKN655386:QKQ655387 QUJ655386:QUM655387 REF655386:REI655387 ROB655386:ROE655387 RXX655386:RYA655387 SHT655386:SHW655387 SRP655386:SRS655387 TBL655386:TBO655387 TLH655386:TLK655387 TVD655386:TVG655387 UEZ655386:UFC655387 UOV655386:UOY655387 UYR655386:UYU655387 VIN655386:VIQ655387 VSJ655386:VSM655387 WCF655386:WCI655387 WMB655386:WME655387 WVX655386:WWA655387 P720922:S720923 JL720922:JO720923 TH720922:TK720923 ADD720922:ADG720923 AMZ720922:ANC720923 AWV720922:AWY720923 BGR720922:BGU720923 BQN720922:BQQ720923 CAJ720922:CAM720923 CKF720922:CKI720923 CUB720922:CUE720923 DDX720922:DEA720923 DNT720922:DNW720923 DXP720922:DXS720923 EHL720922:EHO720923 ERH720922:ERK720923 FBD720922:FBG720923 FKZ720922:FLC720923 FUV720922:FUY720923 GER720922:GEU720923 GON720922:GOQ720923 GYJ720922:GYM720923 HIF720922:HII720923 HSB720922:HSE720923 IBX720922:ICA720923 ILT720922:ILW720923 IVP720922:IVS720923 JFL720922:JFO720923 JPH720922:JPK720923 JZD720922:JZG720923 KIZ720922:KJC720923 KSV720922:KSY720923 LCR720922:LCU720923 LMN720922:LMQ720923 LWJ720922:LWM720923 MGF720922:MGI720923 MQB720922:MQE720923 MZX720922:NAA720923 NJT720922:NJW720923 NTP720922:NTS720923 ODL720922:ODO720923 ONH720922:ONK720923 OXD720922:OXG720923 PGZ720922:PHC720923 PQV720922:PQY720923 QAR720922:QAU720923 QKN720922:QKQ720923 QUJ720922:QUM720923 REF720922:REI720923 ROB720922:ROE720923 RXX720922:RYA720923 SHT720922:SHW720923 SRP720922:SRS720923 TBL720922:TBO720923 TLH720922:TLK720923 TVD720922:TVG720923 UEZ720922:UFC720923 UOV720922:UOY720923 UYR720922:UYU720923 VIN720922:VIQ720923 VSJ720922:VSM720923 WCF720922:WCI720923 WMB720922:WME720923 WVX720922:WWA720923 P786458:S786459 JL786458:JO786459 TH786458:TK786459 ADD786458:ADG786459 AMZ786458:ANC786459 AWV786458:AWY786459 BGR786458:BGU786459 BQN786458:BQQ786459 CAJ786458:CAM786459 CKF786458:CKI786459 CUB786458:CUE786459 DDX786458:DEA786459 DNT786458:DNW786459 DXP786458:DXS786459 EHL786458:EHO786459 ERH786458:ERK786459 FBD786458:FBG786459 FKZ786458:FLC786459 FUV786458:FUY786459 GER786458:GEU786459 GON786458:GOQ786459 GYJ786458:GYM786459 HIF786458:HII786459 HSB786458:HSE786459 IBX786458:ICA786459 ILT786458:ILW786459 IVP786458:IVS786459 JFL786458:JFO786459 JPH786458:JPK786459 JZD786458:JZG786459 KIZ786458:KJC786459 KSV786458:KSY786459 LCR786458:LCU786459 LMN786458:LMQ786459 LWJ786458:LWM786459 MGF786458:MGI786459 MQB786458:MQE786459 MZX786458:NAA786459 NJT786458:NJW786459 NTP786458:NTS786459 ODL786458:ODO786459 ONH786458:ONK786459 OXD786458:OXG786459 PGZ786458:PHC786459 PQV786458:PQY786459 QAR786458:QAU786459 QKN786458:QKQ786459 QUJ786458:QUM786459 REF786458:REI786459 ROB786458:ROE786459 RXX786458:RYA786459 SHT786458:SHW786459 SRP786458:SRS786459 TBL786458:TBO786459 TLH786458:TLK786459 TVD786458:TVG786459 UEZ786458:UFC786459 UOV786458:UOY786459 UYR786458:UYU786459 VIN786458:VIQ786459 VSJ786458:VSM786459 WCF786458:WCI786459 WMB786458:WME786459 WVX786458:WWA786459 P851994:S851995 JL851994:JO851995 TH851994:TK851995 ADD851994:ADG851995 AMZ851994:ANC851995 AWV851994:AWY851995 BGR851994:BGU851995 BQN851994:BQQ851995 CAJ851994:CAM851995 CKF851994:CKI851995 CUB851994:CUE851995 DDX851994:DEA851995 DNT851994:DNW851995 DXP851994:DXS851995 EHL851994:EHO851995 ERH851994:ERK851995 FBD851994:FBG851995 FKZ851994:FLC851995 FUV851994:FUY851995 GER851994:GEU851995 GON851994:GOQ851995 GYJ851994:GYM851995 HIF851994:HII851995 HSB851994:HSE851995 IBX851994:ICA851995 ILT851994:ILW851995 IVP851994:IVS851995 JFL851994:JFO851995 JPH851994:JPK851995 JZD851994:JZG851995 KIZ851994:KJC851995 KSV851994:KSY851995 LCR851994:LCU851995 LMN851994:LMQ851995 LWJ851994:LWM851995 MGF851994:MGI851995 MQB851994:MQE851995 MZX851994:NAA851995 NJT851994:NJW851995 NTP851994:NTS851995 ODL851994:ODO851995 ONH851994:ONK851995 OXD851994:OXG851995 PGZ851994:PHC851995 PQV851994:PQY851995 QAR851994:QAU851995 QKN851994:QKQ851995 QUJ851994:QUM851995 REF851994:REI851995 ROB851994:ROE851995 RXX851994:RYA851995 SHT851994:SHW851995 SRP851994:SRS851995 TBL851994:TBO851995 TLH851994:TLK851995 TVD851994:TVG851995 UEZ851994:UFC851995 UOV851994:UOY851995 UYR851994:UYU851995 VIN851994:VIQ851995 VSJ851994:VSM851995 WCF851994:WCI851995 WMB851994:WME851995 WVX851994:WWA851995 P917530:S917531 JL917530:JO917531 TH917530:TK917531 ADD917530:ADG917531 AMZ917530:ANC917531 AWV917530:AWY917531 BGR917530:BGU917531 BQN917530:BQQ917531 CAJ917530:CAM917531 CKF917530:CKI917531 CUB917530:CUE917531 DDX917530:DEA917531 DNT917530:DNW917531 DXP917530:DXS917531 EHL917530:EHO917531 ERH917530:ERK917531 FBD917530:FBG917531 FKZ917530:FLC917531 FUV917530:FUY917531 GER917530:GEU917531 GON917530:GOQ917531 GYJ917530:GYM917531 HIF917530:HII917531 HSB917530:HSE917531 IBX917530:ICA917531 ILT917530:ILW917531 IVP917530:IVS917531 JFL917530:JFO917531 JPH917530:JPK917531 JZD917530:JZG917531 KIZ917530:KJC917531 KSV917530:KSY917531 LCR917530:LCU917531 LMN917530:LMQ917531 LWJ917530:LWM917531 MGF917530:MGI917531 MQB917530:MQE917531 MZX917530:NAA917531 NJT917530:NJW917531 NTP917530:NTS917531 ODL917530:ODO917531 ONH917530:ONK917531 OXD917530:OXG917531 PGZ917530:PHC917531 PQV917530:PQY917531 QAR917530:QAU917531 QKN917530:QKQ917531 QUJ917530:QUM917531 REF917530:REI917531 ROB917530:ROE917531 RXX917530:RYA917531 SHT917530:SHW917531 SRP917530:SRS917531 TBL917530:TBO917531 TLH917530:TLK917531 TVD917530:TVG917531 UEZ917530:UFC917531 UOV917530:UOY917531 UYR917530:UYU917531 VIN917530:VIQ917531 VSJ917530:VSM917531 WCF917530:WCI917531 WMB917530:WME917531 WVX917530:WWA917531 P983066:S983067 JL983066:JO983067 TH983066:TK983067 ADD983066:ADG983067 AMZ983066:ANC983067 AWV983066:AWY983067 BGR983066:BGU983067 BQN983066:BQQ983067 CAJ983066:CAM983067 CKF983066:CKI983067 CUB983066:CUE983067 DDX983066:DEA983067 DNT983066:DNW983067 DXP983066:DXS983067 EHL983066:EHO983067 ERH983066:ERK983067 FBD983066:FBG983067 FKZ983066:FLC983067 FUV983066:FUY983067 GER983066:GEU983067 GON983066:GOQ983067 GYJ983066:GYM983067 HIF983066:HII983067 HSB983066:HSE983067 IBX983066:ICA983067 ILT983066:ILW983067 IVP983066:IVS983067 JFL983066:JFO983067 JPH983066:JPK983067 JZD983066:JZG983067 KIZ983066:KJC983067 KSV983066:KSY983067 LCR983066:LCU983067 LMN983066:LMQ983067 LWJ983066:LWM983067 MGF983066:MGI983067 MQB983066:MQE983067 MZX983066:NAA983067 NJT983066:NJW983067 NTP983066:NTS983067 ODL983066:ODO983067 ONH983066:ONK983067 OXD983066:OXG983067 PGZ983066:PHC983067 PQV983066:PQY983067 QAR983066:QAU983067 QKN983066:QKQ983067 QUJ983066:QUM983067 REF983066:REI983067 ROB983066:ROE983067 RXX983066:RYA983067 SHT983066:SHW983067 SRP983066:SRS983067 TBL983066:TBO983067 TLH983066:TLK983067 TVD983066:TVG983067 UEZ983066:UFC983067 UOV983066:UOY983067 UYR983066:UYU983067 VIN983066:VIQ983067 VSJ983066:VSM983067 WCF983066:WCI983067 WMB983066:WME983067 WVX983066:WWA983067 B26:D27 IX26:IZ27 ST26:SV27 ACP26:ACR27 AML26:AMN27 AWH26:AWJ27 BGD26:BGF27 BPZ26:BQB27 BZV26:BZX27 CJR26:CJT27 CTN26:CTP27 DDJ26:DDL27 DNF26:DNH27 DXB26:DXD27 EGX26:EGZ27 EQT26:EQV27 FAP26:FAR27 FKL26:FKN27 FUH26:FUJ27 GED26:GEF27 GNZ26:GOB27 GXV26:GXX27 HHR26:HHT27 HRN26:HRP27 IBJ26:IBL27 ILF26:ILH27 IVB26:IVD27 JEX26:JEZ27 JOT26:JOV27 JYP26:JYR27 KIL26:KIN27 KSH26:KSJ27 LCD26:LCF27 LLZ26:LMB27 LVV26:LVX27 MFR26:MFT27 MPN26:MPP27 MZJ26:MZL27 NJF26:NJH27 NTB26:NTD27 OCX26:OCZ27 OMT26:OMV27 OWP26:OWR27 PGL26:PGN27 PQH26:PQJ27 QAD26:QAF27 QJZ26:QKB27 QTV26:QTX27 RDR26:RDT27 RNN26:RNP27 RXJ26:RXL27 SHF26:SHH27 SRB26:SRD27 TAX26:TAZ27 TKT26:TKV27 TUP26:TUR27 UEL26:UEN27 UOH26:UOJ27 UYD26:UYF27 VHZ26:VIB27 VRV26:VRX27 WBR26:WBT27 WLN26:WLP27 WVJ26:WVL27 B65562:D65563 IX65562:IZ65563 ST65562:SV65563 ACP65562:ACR65563 AML65562:AMN65563 AWH65562:AWJ65563 BGD65562:BGF65563 BPZ65562:BQB65563 BZV65562:BZX65563 CJR65562:CJT65563 CTN65562:CTP65563 DDJ65562:DDL65563 DNF65562:DNH65563 DXB65562:DXD65563 EGX65562:EGZ65563 EQT65562:EQV65563 FAP65562:FAR65563 FKL65562:FKN65563 FUH65562:FUJ65563 GED65562:GEF65563 GNZ65562:GOB65563 GXV65562:GXX65563 HHR65562:HHT65563 HRN65562:HRP65563 IBJ65562:IBL65563 ILF65562:ILH65563 IVB65562:IVD65563 JEX65562:JEZ65563 JOT65562:JOV65563 JYP65562:JYR65563 KIL65562:KIN65563 KSH65562:KSJ65563 LCD65562:LCF65563 LLZ65562:LMB65563 LVV65562:LVX65563 MFR65562:MFT65563 MPN65562:MPP65563 MZJ65562:MZL65563 NJF65562:NJH65563 NTB65562:NTD65563 OCX65562:OCZ65563 OMT65562:OMV65563 OWP65562:OWR65563 PGL65562:PGN65563 PQH65562:PQJ65563 QAD65562:QAF65563 QJZ65562:QKB65563 QTV65562:QTX65563 RDR65562:RDT65563 RNN65562:RNP65563 RXJ65562:RXL65563 SHF65562:SHH65563 SRB65562:SRD65563 TAX65562:TAZ65563 TKT65562:TKV65563 TUP65562:TUR65563 UEL65562:UEN65563 UOH65562:UOJ65563 UYD65562:UYF65563 VHZ65562:VIB65563 VRV65562:VRX65563 WBR65562:WBT65563 WLN65562:WLP65563 WVJ65562:WVL65563 B131098:D131099 IX131098:IZ131099 ST131098:SV131099 ACP131098:ACR131099 AML131098:AMN131099 AWH131098:AWJ131099 BGD131098:BGF131099 BPZ131098:BQB131099 BZV131098:BZX131099 CJR131098:CJT131099 CTN131098:CTP131099 DDJ131098:DDL131099 DNF131098:DNH131099 DXB131098:DXD131099 EGX131098:EGZ131099 EQT131098:EQV131099 FAP131098:FAR131099 FKL131098:FKN131099 FUH131098:FUJ131099 GED131098:GEF131099 GNZ131098:GOB131099 GXV131098:GXX131099 HHR131098:HHT131099 HRN131098:HRP131099 IBJ131098:IBL131099 ILF131098:ILH131099 IVB131098:IVD131099 JEX131098:JEZ131099 JOT131098:JOV131099 JYP131098:JYR131099 KIL131098:KIN131099 KSH131098:KSJ131099 LCD131098:LCF131099 LLZ131098:LMB131099 LVV131098:LVX131099 MFR131098:MFT131099 MPN131098:MPP131099 MZJ131098:MZL131099 NJF131098:NJH131099 NTB131098:NTD131099 OCX131098:OCZ131099 OMT131098:OMV131099 OWP131098:OWR131099 PGL131098:PGN131099 PQH131098:PQJ131099 QAD131098:QAF131099 QJZ131098:QKB131099 QTV131098:QTX131099 RDR131098:RDT131099 RNN131098:RNP131099 RXJ131098:RXL131099 SHF131098:SHH131099 SRB131098:SRD131099 TAX131098:TAZ131099 TKT131098:TKV131099 TUP131098:TUR131099 UEL131098:UEN131099 UOH131098:UOJ131099 UYD131098:UYF131099 VHZ131098:VIB131099 VRV131098:VRX131099 WBR131098:WBT131099 WLN131098:WLP131099 WVJ131098:WVL131099 B196634:D196635 IX196634:IZ196635 ST196634:SV196635 ACP196634:ACR196635 AML196634:AMN196635 AWH196634:AWJ196635 BGD196634:BGF196635 BPZ196634:BQB196635 BZV196634:BZX196635 CJR196634:CJT196635 CTN196634:CTP196635 DDJ196634:DDL196635 DNF196634:DNH196635 DXB196634:DXD196635 EGX196634:EGZ196635 EQT196634:EQV196635 FAP196634:FAR196635 FKL196634:FKN196635 FUH196634:FUJ196635 GED196634:GEF196635 GNZ196634:GOB196635 GXV196634:GXX196635 HHR196634:HHT196635 HRN196634:HRP196635 IBJ196634:IBL196635 ILF196634:ILH196635 IVB196634:IVD196635 JEX196634:JEZ196635 JOT196634:JOV196635 JYP196634:JYR196635 KIL196634:KIN196635 KSH196634:KSJ196635 LCD196634:LCF196635 LLZ196634:LMB196635 LVV196634:LVX196635 MFR196634:MFT196635 MPN196634:MPP196635 MZJ196634:MZL196635 NJF196634:NJH196635 NTB196634:NTD196635 OCX196634:OCZ196635 OMT196634:OMV196635 OWP196634:OWR196635 PGL196634:PGN196635 PQH196634:PQJ196635 QAD196634:QAF196635 QJZ196634:QKB196635 QTV196634:QTX196635 RDR196634:RDT196635 RNN196634:RNP196635 RXJ196634:RXL196635 SHF196634:SHH196635 SRB196634:SRD196635 TAX196634:TAZ196635 TKT196634:TKV196635 TUP196634:TUR196635 UEL196634:UEN196635 UOH196634:UOJ196635 UYD196634:UYF196635 VHZ196634:VIB196635 VRV196634:VRX196635 WBR196634:WBT196635 WLN196634:WLP196635 WVJ196634:WVL196635 B262170:D262171 IX262170:IZ262171 ST262170:SV262171 ACP262170:ACR262171 AML262170:AMN262171 AWH262170:AWJ262171 BGD262170:BGF262171 BPZ262170:BQB262171 BZV262170:BZX262171 CJR262170:CJT262171 CTN262170:CTP262171 DDJ262170:DDL262171 DNF262170:DNH262171 DXB262170:DXD262171 EGX262170:EGZ262171 EQT262170:EQV262171 FAP262170:FAR262171 FKL262170:FKN262171 FUH262170:FUJ262171 GED262170:GEF262171 GNZ262170:GOB262171 GXV262170:GXX262171 HHR262170:HHT262171 HRN262170:HRP262171 IBJ262170:IBL262171 ILF262170:ILH262171 IVB262170:IVD262171 JEX262170:JEZ262171 JOT262170:JOV262171 JYP262170:JYR262171 KIL262170:KIN262171 KSH262170:KSJ262171 LCD262170:LCF262171 LLZ262170:LMB262171 LVV262170:LVX262171 MFR262170:MFT262171 MPN262170:MPP262171 MZJ262170:MZL262171 NJF262170:NJH262171 NTB262170:NTD262171 OCX262170:OCZ262171 OMT262170:OMV262171 OWP262170:OWR262171 PGL262170:PGN262171 PQH262170:PQJ262171 QAD262170:QAF262171 QJZ262170:QKB262171 QTV262170:QTX262171 RDR262170:RDT262171 RNN262170:RNP262171 RXJ262170:RXL262171 SHF262170:SHH262171 SRB262170:SRD262171 TAX262170:TAZ262171 TKT262170:TKV262171 TUP262170:TUR262171 UEL262170:UEN262171 UOH262170:UOJ262171 UYD262170:UYF262171 VHZ262170:VIB262171 VRV262170:VRX262171 WBR262170:WBT262171 WLN262170:WLP262171 WVJ262170:WVL262171 B327706:D327707 IX327706:IZ327707 ST327706:SV327707 ACP327706:ACR327707 AML327706:AMN327707 AWH327706:AWJ327707 BGD327706:BGF327707 BPZ327706:BQB327707 BZV327706:BZX327707 CJR327706:CJT327707 CTN327706:CTP327707 DDJ327706:DDL327707 DNF327706:DNH327707 DXB327706:DXD327707 EGX327706:EGZ327707 EQT327706:EQV327707 FAP327706:FAR327707 FKL327706:FKN327707 FUH327706:FUJ327707 GED327706:GEF327707 GNZ327706:GOB327707 GXV327706:GXX327707 HHR327706:HHT327707 HRN327706:HRP327707 IBJ327706:IBL327707 ILF327706:ILH327707 IVB327706:IVD327707 JEX327706:JEZ327707 JOT327706:JOV327707 JYP327706:JYR327707 KIL327706:KIN327707 KSH327706:KSJ327707 LCD327706:LCF327707 LLZ327706:LMB327707 LVV327706:LVX327707 MFR327706:MFT327707 MPN327706:MPP327707 MZJ327706:MZL327707 NJF327706:NJH327707 NTB327706:NTD327707 OCX327706:OCZ327707 OMT327706:OMV327707 OWP327706:OWR327707 PGL327706:PGN327707 PQH327706:PQJ327707 QAD327706:QAF327707 QJZ327706:QKB327707 QTV327706:QTX327707 RDR327706:RDT327707 RNN327706:RNP327707 RXJ327706:RXL327707 SHF327706:SHH327707 SRB327706:SRD327707 TAX327706:TAZ327707 TKT327706:TKV327707 TUP327706:TUR327707 UEL327706:UEN327707 UOH327706:UOJ327707 UYD327706:UYF327707 VHZ327706:VIB327707 VRV327706:VRX327707 WBR327706:WBT327707 WLN327706:WLP327707 WVJ327706:WVL327707 B393242:D393243 IX393242:IZ393243 ST393242:SV393243 ACP393242:ACR393243 AML393242:AMN393243 AWH393242:AWJ393243 BGD393242:BGF393243 BPZ393242:BQB393243 BZV393242:BZX393243 CJR393242:CJT393243 CTN393242:CTP393243 DDJ393242:DDL393243 DNF393242:DNH393243 DXB393242:DXD393243 EGX393242:EGZ393243 EQT393242:EQV393243 FAP393242:FAR393243 FKL393242:FKN393243 FUH393242:FUJ393243 GED393242:GEF393243 GNZ393242:GOB393243 GXV393242:GXX393243 HHR393242:HHT393243 HRN393242:HRP393243 IBJ393242:IBL393243 ILF393242:ILH393243 IVB393242:IVD393243 JEX393242:JEZ393243 JOT393242:JOV393243 JYP393242:JYR393243 KIL393242:KIN393243 KSH393242:KSJ393243 LCD393242:LCF393243 LLZ393242:LMB393243 LVV393242:LVX393243 MFR393242:MFT393243 MPN393242:MPP393243 MZJ393242:MZL393243 NJF393242:NJH393243 NTB393242:NTD393243 OCX393242:OCZ393243 OMT393242:OMV393243 OWP393242:OWR393243 PGL393242:PGN393243 PQH393242:PQJ393243 QAD393242:QAF393243 QJZ393242:QKB393243 QTV393242:QTX393243 RDR393242:RDT393243 RNN393242:RNP393243 RXJ393242:RXL393243 SHF393242:SHH393243 SRB393242:SRD393243 TAX393242:TAZ393243 TKT393242:TKV393243 TUP393242:TUR393243 UEL393242:UEN393243 UOH393242:UOJ393243 UYD393242:UYF393243 VHZ393242:VIB393243 VRV393242:VRX393243 WBR393242:WBT393243 WLN393242:WLP393243 WVJ393242:WVL393243 B458778:D458779 IX458778:IZ458779 ST458778:SV458779 ACP458778:ACR458779 AML458778:AMN458779 AWH458778:AWJ458779 BGD458778:BGF458779 BPZ458778:BQB458779 BZV458778:BZX458779 CJR458778:CJT458779 CTN458778:CTP458779 DDJ458778:DDL458779 DNF458778:DNH458779 DXB458778:DXD458779 EGX458778:EGZ458779 EQT458778:EQV458779 FAP458778:FAR458779 FKL458778:FKN458779 FUH458778:FUJ458779 GED458778:GEF458779 GNZ458778:GOB458779 GXV458778:GXX458779 HHR458778:HHT458779 HRN458778:HRP458779 IBJ458778:IBL458779 ILF458778:ILH458779 IVB458778:IVD458779 JEX458778:JEZ458779 JOT458778:JOV458779 JYP458778:JYR458779 KIL458778:KIN458779 KSH458778:KSJ458779 LCD458778:LCF458779 LLZ458778:LMB458779 LVV458778:LVX458779 MFR458778:MFT458779 MPN458778:MPP458779 MZJ458778:MZL458779 NJF458778:NJH458779 NTB458778:NTD458779 OCX458778:OCZ458779 OMT458778:OMV458779 OWP458778:OWR458779 PGL458778:PGN458779 PQH458778:PQJ458779 QAD458778:QAF458779 QJZ458778:QKB458779 QTV458778:QTX458779 RDR458778:RDT458779 RNN458778:RNP458779 RXJ458778:RXL458779 SHF458778:SHH458779 SRB458778:SRD458779 TAX458778:TAZ458779 TKT458778:TKV458779 TUP458778:TUR458779 UEL458778:UEN458779 UOH458778:UOJ458779 UYD458778:UYF458779 VHZ458778:VIB458779 VRV458778:VRX458779 WBR458778:WBT458779 WLN458778:WLP458779 WVJ458778:WVL458779 B524314:D524315 IX524314:IZ524315 ST524314:SV524315 ACP524314:ACR524315 AML524314:AMN524315 AWH524314:AWJ524315 BGD524314:BGF524315 BPZ524314:BQB524315 BZV524314:BZX524315 CJR524314:CJT524315 CTN524314:CTP524315 DDJ524314:DDL524315 DNF524314:DNH524315 DXB524314:DXD524315 EGX524314:EGZ524315 EQT524314:EQV524315 FAP524314:FAR524315 FKL524314:FKN524315 FUH524314:FUJ524315 GED524314:GEF524315 GNZ524314:GOB524315 GXV524314:GXX524315 HHR524314:HHT524315 HRN524314:HRP524315 IBJ524314:IBL524315 ILF524314:ILH524315 IVB524314:IVD524315 JEX524314:JEZ524315 JOT524314:JOV524315 JYP524314:JYR524315 KIL524314:KIN524315 KSH524314:KSJ524315 LCD524314:LCF524315 LLZ524314:LMB524315 LVV524314:LVX524315 MFR524314:MFT524315 MPN524314:MPP524315 MZJ524314:MZL524315 NJF524314:NJH524315 NTB524314:NTD524315 OCX524314:OCZ524315 OMT524314:OMV524315 OWP524314:OWR524315 PGL524314:PGN524315 PQH524314:PQJ524315 QAD524314:QAF524315 QJZ524314:QKB524315 QTV524314:QTX524315 RDR524314:RDT524315 RNN524314:RNP524315 RXJ524314:RXL524315 SHF524314:SHH524315 SRB524314:SRD524315 TAX524314:TAZ524315 TKT524314:TKV524315 TUP524314:TUR524315 UEL524314:UEN524315 UOH524314:UOJ524315 UYD524314:UYF524315 VHZ524314:VIB524315 VRV524314:VRX524315 WBR524314:WBT524315 WLN524314:WLP524315 WVJ524314:WVL524315 B589850:D589851 IX589850:IZ589851 ST589850:SV589851 ACP589850:ACR589851 AML589850:AMN589851 AWH589850:AWJ589851 BGD589850:BGF589851 BPZ589850:BQB589851 BZV589850:BZX589851 CJR589850:CJT589851 CTN589850:CTP589851 DDJ589850:DDL589851 DNF589850:DNH589851 DXB589850:DXD589851 EGX589850:EGZ589851 EQT589850:EQV589851 FAP589850:FAR589851 FKL589850:FKN589851 FUH589850:FUJ589851 GED589850:GEF589851 GNZ589850:GOB589851 GXV589850:GXX589851 HHR589850:HHT589851 HRN589850:HRP589851 IBJ589850:IBL589851 ILF589850:ILH589851 IVB589850:IVD589851 JEX589850:JEZ589851 JOT589850:JOV589851 JYP589850:JYR589851 KIL589850:KIN589851 KSH589850:KSJ589851 LCD589850:LCF589851 LLZ589850:LMB589851 LVV589850:LVX589851 MFR589850:MFT589851 MPN589850:MPP589851 MZJ589850:MZL589851 NJF589850:NJH589851 NTB589850:NTD589851 OCX589850:OCZ589851 OMT589850:OMV589851 OWP589850:OWR589851 PGL589850:PGN589851 PQH589850:PQJ589851 QAD589850:QAF589851 QJZ589850:QKB589851 QTV589850:QTX589851 RDR589850:RDT589851 RNN589850:RNP589851 RXJ589850:RXL589851 SHF589850:SHH589851 SRB589850:SRD589851 TAX589850:TAZ589851 TKT589850:TKV589851 TUP589850:TUR589851 UEL589850:UEN589851 UOH589850:UOJ589851 UYD589850:UYF589851 VHZ589850:VIB589851 VRV589850:VRX589851 WBR589850:WBT589851 WLN589850:WLP589851 WVJ589850:WVL589851 B655386:D655387 IX655386:IZ655387 ST655386:SV655387 ACP655386:ACR655387 AML655386:AMN655387 AWH655386:AWJ655387 BGD655386:BGF655387 BPZ655386:BQB655387 BZV655386:BZX655387 CJR655386:CJT655387 CTN655386:CTP655387 DDJ655386:DDL655387 DNF655386:DNH655387 DXB655386:DXD655387 EGX655386:EGZ655387 EQT655386:EQV655387 FAP655386:FAR655387 FKL655386:FKN655387 FUH655386:FUJ655387 GED655386:GEF655387 GNZ655386:GOB655387 GXV655386:GXX655387 HHR655386:HHT655387 HRN655386:HRP655387 IBJ655386:IBL655387 ILF655386:ILH655387 IVB655386:IVD655387 JEX655386:JEZ655387 JOT655386:JOV655387 JYP655386:JYR655387 KIL655386:KIN655387 KSH655386:KSJ655387 LCD655386:LCF655387 LLZ655386:LMB655387 LVV655386:LVX655387 MFR655386:MFT655387 MPN655386:MPP655387 MZJ655386:MZL655387 NJF655386:NJH655387 NTB655386:NTD655387 OCX655386:OCZ655387 OMT655386:OMV655387 OWP655386:OWR655387 PGL655386:PGN655387 PQH655386:PQJ655387 QAD655386:QAF655387 QJZ655386:QKB655387 QTV655386:QTX655387 RDR655386:RDT655387 RNN655386:RNP655387 RXJ655386:RXL655387 SHF655386:SHH655387 SRB655386:SRD655387 TAX655386:TAZ655387 TKT655386:TKV655387 TUP655386:TUR655387 UEL655386:UEN655387 UOH655386:UOJ655387 UYD655386:UYF655387 VHZ655386:VIB655387 VRV655386:VRX655387 WBR655386:WBT655387 WLN655386:WLP655387 WVJ655386:WVL655387 B720922:D720923 IX720922:IZ720923 ST720922:SV720923 ACP720922:ACR720923 AML720922:AMN720923 AWH720922:AWJ720923 BGD720922:BGF720923 BPZ720922:BQB720923 BZV720922:BZX720923 CJR720922:CJT720923 CTN720922:CTP720923 DDJ720922:DDL720923 DNF720922:DNH720923 DXB720922:DXD720923 EGX720922:EGZ720923 EQT720922:EQV720923 FAP720922:FAR720923 FKL720922:FKN720923 FUH720922:FUJ720923 GED720922:GEF720923 GNZ720922:GOB720923 GXV720922:GXX720923 HHR720922:HHT720923 HRN720922:HRP720923 IBJ720922:IBL720923 ILF720922:ILH720923 IVB720922:IVD720923 JEX720922:JEZ720923 JOT720922:JOV720923 JYP720922:JYR720923 KIL720922:KIN720923 KSH720922:KSJ720923 LCD720922:LCF720923 LLZ720922:LMB720923 LVV720922:LVX720923 MFR720922:MFT720923 MPN720922:MPP720923 MZJ720922:MZL720923 NJF720922:NJH720923 NTB720922:NTD720923 OCX720922:OCZ720923 OMT720922:OMV720923 OWP720922:OWR720923 PGL720922:PGN720923 PQH720922:PQJ720923 QAD720922:QAF720923 QJZ720922:QKB720923 QTV720922:QTX720923 RDR720922:RDT720923 RNN720922:RNP720923 RXJ720922:RXL720923 SHF720922:SHH720923 SRB720922:SRD720923 TAX720922:TAZ720923 TKT720922:TKV720923 TUP720922:TUR720923 UEL720922:UEN720923 UOH720922:UOJ720923 UYD720922:UYF720923 VHZ720922:VIB720923 VRV720922:VRX720923 WBR720922:WBT720923 WLN720922:WLP720923 WVJ720922:WVL720923 B786458:D786459 IX786458:IZ786459 ST786458:SV786459 ACP786458:ACR786459 AML786458:AMN786459 AWH786458:AWJ786459 BGD786458:BGF786459 BPZ786458:BQB786459 BZV786458:BZX786459 CJR786458:CJT786459 CTN786458:CTP786459 DDJ786458:DDL786459 DNF786458:DNH786459 DXB786458:DXD786459 EGX786458:EGZ786459 EQT786458:EQV786459 FAP786458:FAR786459 FKL786458:FKN786459 FUH786458:FUJ786459 GED786458:GEF786459 GNZ786458:GOB786459 GXV786458:GXX786459 HHR786458:HHT786459 HRN786458:HRP786459 IBJ786458:IBL786459 ILF786458:ILH786459 IVB786458:IVD786459 JEX786458:JEZ786459 JOT786458:JOV786459 JYP786458:JYR786459 KIL786458:KIN786459 KSH786458:KSJ786459 LCD786458:LCF786459 LLZ786458:LMB786459 LVV786458:LVX786459 MFR786458:MFT786459 MPN786458:MPP786459 MZJ786458:MZL786459 NJF786458:NJH786459 NTB786458:NTD786459 OCX786458:OCZ786459 OMT786458:OMV786459 OWP786458:OWR786459 PGL786458:PGN786459 PQH786458:PQJ786459 QAD786458:QAF786459 QJZ786458:QKB786459 QTV786458:QTX786459 RDR786458:RDT786459 RNN786458:RNP786459 RXJ786458:RXL786459 SHF786458:SHH786459 SRB786458:SRD786459 TAX786458:TAZ786459 TKT786458:TKV786459 TUP786458:TUR786459 UEL786458:UEN786459 UOH786458:UOJ786459 UYD786458:UYF786459 VHZ786458:VIB786459 VRV786458:VRX786459 WBR786458:WBT786459 WLN786458:WLP786459 WVJ786458:WVL786459 B851994:D851995 IX851994:IZ851995 ST851994:SV851995 ACP851994:ACR851995 AML851994:AMN851995 AWH851994:AWJ851995 BGD851994:BGF851995 BPZ851994:BQB851995 BZV851994:BZX851995 CJR851994:CJT851995 CTN851994:CTP851995 DDJ851994:DDL851995 DNF851994:DNH851995 DXB851994:DXD851995 EGX851994:EGZ851995 EQT851994:EQV851995 FAP851994:FAR851995 FKL851994:FKN851995 FUH851994:FUJ851995 GED851994:GEF851995 GNZ851994:GOB851995 GXV851994:GXX851995 HHR851994:HHT851995 HRN851994:HRP851995 IBJ851994:IBL851995 ILF851994:ILH851995 IVB851994:IVD851995 JEX851994:JEZ851995 JOT851994:JOV851995 JYP851994:JYR851995 KIL851994:KIN851995 KSH851994:KSJ851995 LCD851994:LCF851995 LLZ851994:LMB851995 LVV851994:LVX851995 MFR851994:MFT851995 MPN851994:MPP851995 MZJ851994:MZL851995 NJF851994:NJH851995 NTB851994:NTD851995 OCX851994:OCZ851995 OMT851994:OMV851995 OWP851994:OWR851995 PGL851994:PGN851995 PQH851994:PQJ851995 QAD851994:QAF851995 QJZ851994:QKB851995 QTV851994:QTX851995 RDR851994:RDT851995 RNN851994:RNP851995 RXJ851994:RXL851995 SHF851994:SHH851995 SRB851994:SRD851995 TAX851994:TAZ851995 TKT851994:TKV851995 TUP851994:TUR851995 UEL851994:UEN851995 UOH851994:UOJ851995 UYD851994:UYF851995 VHZ851994:VIB851995 VRV851994:VRX851995 WBR851994:WBT851995 WLN851994:WLP851995 WVJ851994:WVL851995 B917530:D917531 IX917530:IZ917531 ST917530:SV917531 ACP917530:ACR917531 AML917530:AMN917531 AWH917530:AWJ917531 BGD917530:BGF917531 BPZ917530:BQB917531 BZV917530:BZX917531 CJR917530:CJT917531 CTN917530:CTP917531 DDJ917530:DDL917531 DNF917530:DNH917531 DXB917530:DXD917531 EGX917530:EGZ917531 EQT917530:EQV917531 FAP917530:FAR917531 FKL917530:FKN917531 FUH917530:FUJ917531 GED917530:GEF917531 GNZ917530:GOB917531 GXV917530:GXX917531 HHR917530:HHT917531 HRN917530:HRP917531 IBJ917530:IBL917531 ILF917530:ILH917531 IVB917530:IVD917531 JEX917530:JEZ917531 JOT917530:JOV917531 JYP917530:JYR917531 KIL917530:KIN917531 KSH917530:KSJ917531 LCD917530:LCF917531 LLZ917530:LMB917531 LVV917530:LVX917531 MFR917530:MFT917531 MPN917530:MPP917531 MZJ917530:MZL917531 NJF917530:NJH917531 NTB917530:NTD917531 OCX917530:OCZ917531 OMT917530:OMV917531 OWP917530:OWR917531 PGL917530:PGN917531 PQH917530:PQJ917531 QAD917530:QAF917531 QJZ917530:QKB917531 QTV917530:QTX917531 RDR917530:RDT917531 RNN917530:RNP917531 RXJ917530:RXL917531 SHF917530:SHH917531 SRB917530:SRD917531 TAX917530:TAZ917531 TKT917530:TKV917531 TUP917530:TUR917531 UEL917530:UEN917531 UOH917530:UOJ917531 UYD917530:UYF917531 VHZ917530:VIB917531 VRV917530:VRX917531 WBR917530:WBT917531 WLN917530:WLP917531 WVJ917530:WVL917531 B983066:D983067 IX983066:IZ983067 ST983066:SV983067 ACP983066:ACR983067 AML983066:AMN983067 AWH983066:AWJ983067 BGD983066:BGF983067 BPZ983066:BQB983067 BZV983066:BZX983067 CJR983066:CJT983067 CTN983066:CTP983067 DDJ983066:DDL983067 DNF983066:DNH983067 DXB983066:DXD983067 EGX983066:EGZ983067 EQT983066:EQV983067 FAP983066:FAR983067 FKL983066:FKN983067 FUH983066:FUJ983067 GED983066:GEF983067 GNZ983066:GOB983067 GXV983066:GXX983067 HHR983066:HHT983067 HRN983066:HRP983067 IBJ983066:IBL983067 ILF983066:ILH983067 IVB983066:IVD983067 JEX983066:JEZ983067 JOT983066:JOV983067 JYP983066:JYR983067 KIL983066:KIN983067 KSH983066:KSJ983067 LCD983066:LCF983067 LLZ983066:LMB983067 LVV983066:LVX983067 MFR983066:MFT983067 MPN983066:MPP983067 MZJ983066:MZL983067 NJF983066:NJH983067 NTB983066:NTD983067 OCX983066:OCZ983067 OMT983066:OMV983067 OWP983066:OWR983067 PGL983066:PGN983067 PQH983066:PQJ983067 QAD983066:QAF983067 QJZ983066:QKB983067 QTV983066:QTX983067 RDR983066:RDT983067 RNN983066:RNP983067 RXJ983066:RXL983067 SHF983066:SHH983067 SRB983066:SRD983067 TAX983066:TAZ983067 TKT983066:TKV983067 TUP983066:TUR983067 UEL983066:UEN983067 UOH983066:UOJ983067 UYD983066:UYF983067 VHZ983066:VIB983067 VRV983066:VRX983067 WBR983066:WBT983067 WLN983066:WLP983067 WVJ983066:WVL983067 WVP983042:WVP983057 H65538:H65553 JD65538:JD65553 SZ65538:SZ65553 ACV65538:ACV65553 AMR65538:AMR65553 AWN65538:AWN65553 BGJ65538:BGJ65553 BQF65538:BQF65553 CAB65538:CAB65553 CJX65538:CJX65553 CTT65538:CTT65553 DDP65538:DDP65553 DNL65538:DNL65553 DXH65538:DXH65553 EHD65538:EHD65553 EQZ65538:EQZ65553 FAV65538:FAV65553 FKR65538:FKR65553 FUN65538:FUN65553 GEJ65538:GEJ65553 GOF65538:GOF65553 GYB65538:GYB65553 HHX65538:HHX65553 HRT65538:HRT65553 IBP65538:IBP65553 ILL65538:ILL65553 IVH65538:IVH65553 JFD65538:JFD65553 JOZ65538:JOZ65553 JYV65538:JYV65553 KIR65538:KIR65553 KSN65538:KSN65553 LCJ65538:LCJ65553 LMF65538:LMF65553 LWB65538:LWB65553 MFX65538:MFX65553 MPT65538:MPT65553 MZP65538:MZP65553 NJL65538:NJL65553 NTH65538:NTH65553 ODD65538:ODD65553 OMZ65538:OMZ65553 OWV65538:OWV65553 PGR65538:PGR65553 PQN65538:PQN65553 QAJ65538:QAJ65553 QKF65538:QKF65553 QUB65538:QUB65553 RDX65538:RDX65553 RNT65538:RNT65553 RXP65538:RXP65553 SHL65538:SHL65553 SRH65538:SRH65553 TBD65538:TBD65553 TKZ65538:TKZ65553 TUV65538:TUV65553 UER65538:UER65553 UON65538:UON65553 UYJ65538:UYJ65553 VIF65538:VIF65553 VSB65538:VSB65553 WBX65538:WBX65553 WLT65538:WLT65553 WVP65538:WVP65553 H131074:H131089 JD131074:JD131089 SZ131074:SZ131089 ACV131074:ACV131089 AMR131074:AMR131089 AWN131074:AWN131089 BGJ131074:BGJ131089 BQF131074:BQF131089 CAB131074:CAB131089 CJX131074:CJX131089 CTT131074:CTT131089 DDP131074:DDP131089 DNL131074:DNL131089 DXH131074:DXH131089 EHD131074:EHD131089 EQZ131074:EQZ131089 FAV131074:FAV131089 FKR131074:FKR131089 FUN131074:FUN131089 GEJ131074:GEJ131089 GOF131074:GOF131089 GYB131074:GYB131089 HHX131074:HHX131089 HRT131074:HRT131089 IBP131074:IBP131089 ILL131074:ILL131089 IVH131074:IVH131089 JFD131074:JFD131089 JOZ131074:JOZ131089 JYV131074:JYV131089 KIR131074:KIR131089 KSN131074:KSN131089 LCJ131074:LCJ131089 LMF131074:LMF131089 LWB131074:LWB131089 MFX131074:MFX131089 MPT131074:MPT131089 MZP131074:MZP131089 NJL131074:NJL131089 NTH131074:NTH131089 ODD131074:ODD131089 OMZ131074:OMZ131089 OWV131074:OWV131089 PGR131074:PGR131089 PQN131074:PQN131089 QAJ131074:QAJ131089 QKF131074:QKF131089 QUB131074:QUB131089 RDX131074:RDX131089 RNT131074:RNT131089 RXP131074:RXP131089 SHL131074:SHL131089 SRH131074:SRH131089 TBD131074:TBD131089 TKZ131074:TKZ131089 TUV131074:TUV131089 UER131074:UER131089 UON131074:UON131089 UYJ131074:UYJ131089 VIF131074:VIF131089 VSB131074:VSB131089 WBX131074:WBX131089 WLT131074:WLT131089 WVP131074:WVP131089 H196610:H196625 JD196610:JD196625 SZ196610:SZ196625 ACV196610:ACV196625 AMR196610:AMR196625 AWN196610:AWN196625 BGJ196610:BGJ196625 BQF196610:BQF196625 CAB196610:CAB196625 CJX196610:CJX196625 CTT196610:CTT196625 DDP196610:DDP196625 DNL196610:DNL196625 DXH196610:DXH196625 EHD196610:EHD196625 EQZ196610:EQZ196625 FAV196610:FAV196625 FKR196610:FKR196625 FUN196610:FUN196625 GEJ196610:GEJ196625 GOF196610:GOF196625 GYB196610:GYB196625 HHX196610:HHX196625 HRT196610:HRT196625 IBP196610:IBP196625 ILL196610:ILL196625 IVH196610:IVH196625 JFD196610:JFD196625 JOZ196610:JOZ196625 JYV196610:JYV196625 KIR196610:KIR196625 KSN196610:KSN196625 LCJ196610:LCJ196625 LMF196610:LMF196625 LWB196610:LWB196625 MFX196610:MFX196625 MPT196610:MPT196625 MZP196610:MZP196625 NJL196610:NJL196625 NTH196610:NTH196625 ODD196610:ODD196625 OMZ196610:OMZ196625 OWV196610:OWV196625 PGR196610:PGR196625 PQN196610:PQN196625 QAJ196610:QAJ196625 QKF196610:QKF196625 QUB196610:QUB196625 RDX196610:RDX196625 RNT196610:RNT196625 RXP196610:RXP196625 SHL196610:SHL196625 SRH196610:SRH196625 TBD196610:TBD196625 TKZ196610:TKZ196625 TUV196610:TUV196625 UER196610:UER196625 UON196610:UON196625 UYJ196610:UYJ196625 VIF196610:VIF196625 VSB196610:VSB196625 WBX196610:WBX196625 WLT196610:WLT196625 WVP196610:WVP196625 H262146:H262161 JD262146:JD262161 SZ262146:SZ262161 ACV262146:ACV262161 AMR262146:AMR262161 AWN262146:AWN262161 BGJ262146:BGJ262161 BQF262146:BQF262161 CAB262146:CAB262161 CJX262146:CJX262161 CTT262146:CTT262161 DDP262146:DDP262161 DNL262146:DNL262161 DXH262146:DXH262161 EHD262146:EHD262161 EQZ262146:EQZ262161 FAV262146:FAV262161 FKR262146:FKR262161 FUN262146:FUN262161 GEJ262146:GEJ262161 GOF262146:GOF262161 GYB262146:GYB262161 HHX262146:HHX262161 HRT262146:HRT262161 IBP262146:IBP262161 ILL262146:ILL262161 IVH262146:IVH262161 JFD262146:JFD262161 JOZ262146:JOZ262161 JYV262146:JYV262161 KIR262146:KIR262161 KSN262146:KSN262161 LCJ262146:LCJ262161 LMF262146:LMF262161 LWB262146:LWB262161 MFX262146:MFX262161 MPT262146:MPT262161 MZP262146:MZP262161 NJL262146:NJL262161 NTH262146:NTH262161 ODD262146:ODD262161 OMZ262146:OMZ262161 OWV262146:OWV262161 PGR262146:PGR262161 PQN262146:PQN262161 QAJ262146:QAJ262161 QKF262146:QKF262161 QUB262146:QUB262161 RDX262146:RDX262161 RNT262146:RNT262161 RXP262146:RXP262161 SHL262146:SHL262161 SRH262146:SRH262161 TBD262146:TBD262161 TKZ262146:TKZ262161 TUV262146:TUV262161 UER262146:UER262161 UON262146:UON262161 UYJ262146:UYJ262161 VIF262146:VIF262161 VSB262146:VSB262161 WBX262146:WBX262161 WLT262146:WLT262161 WVP262146:WVP262161 H327682:H327697 JD327682:JD327697 SZ327682:SZ327697 ACV327682:ACV327697 AMR327682:AMR327697 AWN327682:AWN327697 BGJ327682:BGJ327697 BQF327682:BQF327697 CAB327682:CAB327697 CJX327682:CJX327697 CTT327682:CTT327697 DDP327682:DDP327697 DNL327682:DNL327697 DXH327682:DXH327697 EHD327682:EHD327697 EQZ327682:EQZ327697 FAV327682:FAV327697 FKR327682:FKR327697 FUN327682:FUN327697 GEJ327682:GEJ327697 GOF327682:GOF327697 GYB327682:GYB327697 HHX327682:HHX327697 HRT327682:HRT327697 IBP327682:IBP327697 ILL327682:ILL327697 IVH327682:IVH327697 JFD327682:JFD327697 JOZ327682:JOZ327697 JYV327682:JYV327697 KIR327682:KIR327697 KSN327682:KSN327697 LCJ327682:LCJ327697 LMF327682:LMF327697 LWB327682:LWB327697 MFX327682:MFX327697 MPT327682:MPT327697 MZP327682:MZP327697 NJL327682:NJL327697 NTH327682:NTH327697 ODD327682:ODD327697 OMZ327682:OMZ327697 OWV327682:OWV327697 PGR327682:PGR327697 PQN327682:PQN327697 QAJ327682:QAJ327697 QKF327682:QKF327697 QUB327682:QUB327697 RDX327682:RDX327697 RNT327682:RNT327697 RXP327682:RXP327697 SHL327682:SHL327697 SRH327682:SRH327697 TBD327682:TBD327697 TKZ327682:TKZ327697 TUV327682:TUV327697 UER327682:UER327697 UON327682:UON327697 UYJ327682:UYJ327697 VIF327682:VIF327697 VSB327682:VSB327697 WBX327682:WBX327697 WLT327682:WLT327697 WVP327682:WVP327697 H393218:H393233 JD393218:JD393233 SZ393218:SZ393233 ACV393218:ACV393233 AMR393218:AMR393233 AWN393218:AWN393233 BGJ393218:BGJ393233 BQF393218:BQF393233 CAB393218:CAB393233 CJX393218:CJX393233 CTT393218:CTT393233 DDP393218:DDP393233 DNL393218:DNL393233 DXH393218:DXH393233 EHD393218:EHD393233 EQZ393218:EQZ393233 FAV393218:FAV393233 FKR393218:FKR393233 FUN393218:FUN393233 GEJ393218:GEJ393233 GOF393218:GOF393233 GYB393218:GYB393233 HHX393218:HHX393233 HRT393218:HRT393233 IBP393218:IBP393233 ILL393218:ILL393233 IVH393218:IVH393233 JFD393218:JFD393233 JOZ393218:JOZ393233 JYV393218:JYV393233 KIR393218:KIR393233 KSN393218:KSN393233 LCJ393218:LCJ393233 LMF393218:LMF393233 LWB393218:LWB393233 MFX393218:MFX393233 MPT393218:MPT393233 MZP393218:MZP393233 NJL393218:NJL393233 NTH393218:NTH393233 ODD393218:ODD393233 OMZ393218:OMZ393233 OWV393218:OWV393233 PGR393218:PGR393233 PQN393218:PQN393233 QAJ393218:QAJ393233 QKF393218:QKF393233 QUB393218:QUB393233 RDX393218:RDX393233 RNT393218:RNT393233 RXP393218:RXP393233 SHL393218:SHL393233 SRH393218:SRH393233 TBD393218:TBD393233 TKZ393218:TKZ393233 TUV393218:TUV393233 UER393218:UER393233 UON393218:UON393233 UYJ393218:UYJ393233 VIF393218:VIF393233 VSB393218:VSB393233 WBX393218:WBX393233 WLT393218:WLT393233 WVP393218:WVP393233 H458754:H458769 JD458754:JD458769 SZ458754:SZ458769 ACV458754:ACV458769 AMR458754:AMR458769 AWN458754:AWN458769 BGJ458754:BGJ458769 BQF458754:BQF458769 CAB458754:CAB458769 CJX458754:CJX458769 CTT458754:CTT458769 DDP458754:DDP458769 DNL458754:DNL458769 DXH458754:DXH458769 EHD458754:EHD458769 EQZ458754:EQZ458769 FAV458754:FAV458769 FKR458754:FKR458769 FUN458754:FUN458769 GEJ458754:GEJ458769 GOF458754:GOF458769 GYB458754:GYB458769 HHX458754:HHX458769 HRT458754:HRT458769 IBP458754:IBP458769 ILL458754:ILL458769 IVH458754:IVH458769 JFD458754:JFD458769 JOZ458754:JOZ458769 JYV458754:JYV458769 KIR458754:KIR458769 KSN458754:KSN458769 LCJ458754:LCJ458769 LMF458754:LMF458769 LWB458754:LWB458769 MFX458754:MFX458769 MPT458754:MPT458769 MZP458754:MZP458769 NJL458754:NJL458769 NTH458754:NTH458769 ODD458754:ODD458769 OMZ458754:OMZ458769 OWV458754:OWV458769 PGR458754:PGR458769 PQN458754:PQN458769 QAJ458754:QAJ458769 QKF458754:QKF458769 QUB458754:QUB458769 RDX458754:RDX458769 RNT458754:RNT458769 RXP458754:RXP458769 SHL458754:SHL458769 SRH458754:SRH458769 TBD458754:TBD458769 TKZ458754:TKZ458769 TUV458754:TUV458769 UER458754:UER458769 UON458754:UON458769 UYJ458754:UYJ458769 VIF458754:VIF458769 VSB458754:VSB458769 WBX458754:WBX458769 WLT458754:WLT458769 WVP458754:WVP458769 H524290:H524305 JD524290:JD524305 SZ524290:SZ524305 ACV524290:ACV524305 AMR524290:AMR524305 AWN524290:AWN524305 BGJ524290:BGJ524305 BQF524290:BQF524305 CAB524290:CAB524305 CJX524290:CJX524305 CTT524290:CTT524305 DDP524290:DDP524305 DNL524290:DNL524305 DXH524290:DXH524305 EHD524290:EHD524305 EQZ524290:EQZ524305 FAV524290:FAV524305 FKR524290:FKR524305 FUN524290:FUN524305 GEJ524290:GEJ524305 GOF524290:GOF524305 GYB524290:GYB524305 HHX524290:HHX524305 HRT524290:HRT524305 IBP524290:IBP524305 ILL524290:ILL524305 IVH524290:IVH524305 JFD524290:JFD524305 JOZ524290:JOZ524305 JYV524290:JYV524305 KIR524290:KIR524305 KSN524290:KSN524305 LCJ524290:LCJ524305 LMF524290:LMF524305 LWB524290:LWB524305 MFX524290:MFX524305 MPT524290:MPT524305 MZP524290:MZP524305 NJL524290:NJL524305 NTH524290:NTH524305 ODD524290:ODD524305 OMZ524290:OMZ524305 OWV524290:OWV524305 PGR524290:PGR524305 PQN524290:PQN524305 QAJ524290:QAJ524305 QKF524290:QKF524305 QUB524290:QUB524305 RDX524290:RDX524305 RNT524290:RNT524305 RXP524290:RXP524305 SHL524290:SHL524305 SRH524290:SRH524305 TBD524290:TBD524305 TKZ524290:TKZ524305 TUV524290:TUV524305 UER524290:UER524305 UON524290:UON524305 UYJ524290:UYJ524305 VIF524290:VIF524305 VSB524290:VSB524305 WBX524290:WBX524305 WLT524290:WLT524305 WVP524290:WVP524305 H589826:H589841 JD589826:JD589841 SZ589826:SZ589841 ACV589826:ACV589841 AMR589826:AMR589841 AWN589826:AWN589841 BGJ589826:BGJ589841 BQF589826:BQF589841 CAB589826:CAB589841 CJX589826:CJX589841 CTT589826:CTT589841 DDP589826:DDP589841 DNL589826:DNL589841 DXH589826:DXH589841 EHD589826:EHD589841 EQZ589826:EQZ589841 FAV589826:FAV589841 FKR589826:FKR589841 FUN589826:FUN589841 GEJ589826:GEJ589841 GOF589826:GOF589841 GYB589826:GYB589841 HHX589826:HHX589841 HRT589826:HRT589841 IBP589826:IBP589841 ILL589826:ILL589841 IVH589826:IVH589841 JFD589826:JFD589841 JOZ589826:JOZ589841 JYV589826:JYV589841 KIR589826:KIR589841 KSN589826:KSN589841 LCJ589826:LCJ589841 LMF589826:LMF589841 LWB589826:LWB589841 MFX589826:MFX589841 MPT589826:MPT589841 MZP589826:MZP589841 NJL589826:NJL589841 NTH589826:NTH589841 ODD589826:ODD589841 OMZ589826:OMZ589841 OWV589826:OWV589841 PGR589826:PGR589841 PQN589826:PQN589841 QAJ589826:QAJ589841 QKF589826:QKF589841 QUB589826:QUB589841 RDX589826:RDX589841 RNT589826:RNT589841 RXP589826:RXP589841 SHL589826:SHL589841 SRH589826:SRH589841 TBD589826:TBD589841 TKZ589826:TKZ589841 TUV589826:TUV589841 UER589826:UER589841 UON589826:UON589841 UYJ589826:UYJ589841 VIF589826:VIF589841 VSB589826:VSB589841 WBX589826:WBX589841 WLT589826:WLT589841 WVP589826:WVP589841 H655362:H655377 JD655362:JD655377 SZ655362:SZ655377 ACV655362:ACV655377 AMR655362:AMR655377 AWN655362:AWN655377 BGJ655362:BGJ655377 BQF655362:BQF655377 CAB655362:CAB655377 CJX655362:CJX655377 CTT655362:CTT655377 DDP655362:DDP655377 DNL655362:DNL655377 DXH655362:DXH655377 EHD655362:EHD655377 EQZ655362:EQZ655377 FAV655362:FAV655377 FKR655362:FKR655377 FUN655362:FUN655377 GEJ655362:GEJ655377 GOF655362:GOF655377 GYB655362:GYB655377 HHX655362:HHX655377 HRT655362:HRT655377 IBP655362:IBP655377 ILL655362:ILL655377 IVH655362:IVH655377 JFD655362:JFD655377 JOZ655362:JOZ655377 JYV655362:JYV655377 KIR655362:KIR655377 KSN655362:KSN655377 LCJ655362:LCJ655377 LMF655362:LMF655377 LWB655362:LWB655377 MFX655362:MFX655377 MPT655362:MPT655377 MZP655362:MZP655377 NJL655362:NJL655377 NTH655362:NTH655377 ODD655362:ODD655377 OMZ655362:OMZ655377 OWV655362:OWV655377 PGR655362:PGR655377 PQN655362:PQN655377 QAJ655362:QAJ655377 QKF655362:QKF655377 QUB655362:QUB655377 RDX655362:RDX655377 RNT655362:RNT655377 RXP655362:RXP655377 SHL655362:SHL655377 SRH655362:SRH655377 TBD655362:TBD655377 TKZ655362:TKZ655377 TUV655362:TUV655377 UER655362:UER655377 UON655362:UON655377 UYJ655362:UYJ655377 VIF655362:VIF655377 VSB655362:VSB655377 WBX655362:WBX655377 WLT655362:WLT655377 WVP655362:WVP655377 H720898:H720913 JD720898:JD720913 SZ720898:SZ720913 ACV720898:ACV720913 AMR720898:AMR720913 AWN720898:AWN720913 BGJ720898:BGJ720913 BQF720898:BQF720913 CAB720898:CAB720913 CJX720898:CJX720913 CTT720898:CTT720913 DDP720898:DDP720913 DNL720898:DNL720913 DXH720898:DXH720913 EHD720898:EHD720913 EQZ720898:EQZ720913 FAV720898:FAV720913 FKR720898:FKR720913 FUN720898:FUN720913 GEJ720898:GEJ720913 GOF720898:GOF720913 GYB720898:GYB720913 HHX720898:HHX720913 HRT720898:HRT720913 IBP720898:IBP720913 ILL720898:ILL720913 IVH720898:IVH720913 JFD720898:JFD720913 JOZ720898:JOZ720913 JYV720898:JYV720913 KIR720898:KIR720913 KSN720898:KSN720913 LCJ720898:LCJ720913 LMF720898:LMF720913 LWB720898:LWB720913 MFX720898:MFX720913 MPT720898:MPT720913 MZP720898:MZP720913 NJL720898:NJL720913 NTH720898:NTH720913 ODD720898:ODD720913 OMZ720898:OMZ720913 OWV720898:OWV720913 PGR720898:PGR720913 PQN720898:PQN720913 QAJ720898:QAJ720913 QKF720898:QKF720913 QUB720898:QUB720913 RDX720898:RDX720913 RNT720898:RNT720913 RXP720898:RXP720913 SHL720898:SHL720913 SRH720898:SRH720913 TBD720898:TBD720913 TKZ720898:TKZ720913 TUV720898:TUV720913 UER720898:UER720913 UON720898:UON720913 UYJ720898:UYJ720913 VIF720898:VIF720913 VSB720898:VSB720913 WBX720898:WBX720913 WLT720898:WLT720913 WVP720898:WVP720913 H786434:H786449 JD786434:JD786449 SZ786434:SZ786449 ACV786434:ACV786449 AMR786434:AMR786449 AWN786434:AWN786449 BGJ786434:BGJ786449 BQF786434:BQF786449 CAB786434:CAB786449 CJX786434:CJX786449 CTT786434:CTT786449 DDP786434:DDP786449 DNL786434:DNL786449 DXH786434:DXH786449 EHD786434:EHD786449 EQZ786434:EQZ786449 FAV786434:FAV786449 FKR786434:FKR786449 FUN786434:FUN786449 GEJ786434:GEJ786449 GOF786434:GOF786449 GYB786434:GYB786449 HHX786434:HHX786449 HRT786434:HRT786449 IBP786434:IBP786449 ILL786434:ILL786449 IVH786434:IVH786449 JFD786434:JFD786449 JOZ786434:JOZ786449 JYV786434:JYV786449 KIR786434:KIR786449 KSN786434:KSN786449 LCJ786434:LCJ786449 LMF786434:LMF786449 LWB786434:LWB786449 MFX786434:MFX786449 MPT786434:MPT786449 MZP786434:MZP786449 NJL786434:NJL786449 NTH786434:NTH786449 ODD786434:ODD786449 OMZ786434:OMZ786449 OWV786434:OWV786449 PGR786434:PGR786449 PQN786434:PQN786449 QAJ786434:QAJ786449 QKF786434:QKF786449 QUB786434:QUB786449 RDX786434:RDX786449 RNT786434:RNT786449 RXP786434:RXP786449 SHL786434:SHL786449 SRH786434:SRH786449 TBD786434:TBD786449 TKZ786434:TKZ786449 TUV786434:TUV786449 UER786434:UER786449 UON786434:UON786449 UYJ786434:UYJ786449 VIF786434:VIF786449 VSB786434:VSB786449 WBX786434:WBX786449 WLT786434:WLT786449 WVP786434:WVP786449 H851970:H851985 JD851970:JD851985 SZ851970:SZ851985 ACV851970:ACV851985 AMR851970:AMR851985 AWN851970:AWN851985 BGJ851970:BGJ851985 BQF851970:BQF851985 CAB851970:CAB851985 CJX851970:CJX851985 CTT851970:CTT851985 DDP851970:DDP851985 DNL851970:DNL851985 DXH851970:DXH851985 EHD851970:EHD851985 EQZ851970:EQZ851985 FAV851970:FAV851985 FKR851970:FKR851985 FUN851970:FUN851985 GEJ851970:GEJ851985 GOF851970:GOF851985 GYB851970:GYB851985 HHX851970:HHX851985 HRT851970:HRT851985 IBP851970:IBP851985 ILL851970:ILL851985 IVH851970:IVH851985 JFD851970:JFD851985 JOZ851970:JOZ851985 JYV851970:JYV851985 KIR851970:KIR851985 KSN851970:KSN851985 LCJ851970:LCJ851985 LMF851970:LMF851985 LWB851970:LWB851985 MFX851970:MFX851985 MPT851970:MPT851985 MZP851970:MZP851985 NJL851970:NJL851985 NTH851970:NTH851985 ODD851970:ODD851985 OMZ851970:OMZ851985 OWV851970:OWV851985 PGR851970:PGR851985 PQN851970:PQN851985 QAJ851970:QAJ851985 QKF851970:QKF851985 QUB851970:QUB851985 RDX851970:RDX851985 RNT851970:RNT851985 RXP851970:RXP851985 SHL851970:SHL851985 SRH851970:SRH851985 TBD851970:TBD851985 TKZ851970:TKZ851985 TUV851970:TUV851985 UER851970:UER851985 UON851970:UON851985 UYJ851970:UYJ851985 VIF851970:VIF851985 VSB851970:VSB851985 WBX851970:WBX851985 WLT851970:WLT851985 WVP851970:WVP851985 H917506:H917521 JD917506:JD917521 SZ917506:SZ917521 ACV917506:ACV917521 AMR917506:AMR917521 AWN917506:AWN917521 BGJ917506:BGJ917521 BQF917506:BQF917521 CAB917506:CAB917521 CJX917506:CJX917521 CTT917506:CTT917521 DDP917506:DDP917521 DNL917506:DNL917521 DXH917506:DXH917521 EHD917506:EHD917521 EQZ917506:EQZ917521 FAV917506:FAV917521 FKR917506:FKR917521 FUN917506:FUN917521 GEJ917506:GEJ917521 GOF917506:GOF917521 GYB917506:GYB917521 HHX917506:HHX917521 HRT917506:HRT917521 IBP917506:IBP917521 ILL917506:ILL917521 IVH917506:IVH917521 JFD917506:JFD917521 JOZ917506:JOZ917521 JYV917506:JYV917521 KIR917506:KIR917521 KSN917506:KSN917521 LCJ917506:LCJ917521 LMF917506:LMF917521 LWB917506:LWB917521 MFX917506:MFX917521 MPT917506:MPT917521 MZP917506:MZP917521 NJL917506:NJL917521 NTH917506:NTH917521 ODD917506:ODD917521 OMZ917506:OMZ917521 OWV917506:OWV917521 PGR917506:PGR917521 PQN917506:PQN917521 QAJ917506:QAJ917521 QKF917506:QKF917521 QUB917506:QUB917521 RDX917506:RDX917521 RNT917506:RNT917521 RXP917506:RXP917521 SHL917506:SHL917521 SRH917506:SRH917521 TBD917506:TBD917521 TKZ917506:TKZ917521 TUV917506:TUV917521 UER917506:UER917521 UON917506:UON917521 UYJ917506:UYJ917521 VIF917506:VIF917521 VSB917506:VSB917521 WBX917506:WBX917521 WLT917506:WLT917521 WVP917506:WVP917521 H983042:H983057 JD983042:JD983057 SZ983042:SZ983057 ACV983042:ACV983057 AMR983042:AMR983057 AWN983042:AWN983057 BGJ983042:BGJ983057 BQF983042:BQF983057 CAB983042:CAB983057 CJX983042:CJX983057 CTT983042:CTT983057 DDP983042:DDP983057 DNL983042:DNL983057 DXH983042:DXH983057 EHD983042:EHD983057 EQZ983042:EQZ983057 FAV983042:FAV983057 FKR983042:FKR983057 FUN983042:FUN983057 GEJ983042:GEJ983057 GOF983042:GOF983057 GYB983042:GYB983057 HHX983042:HHX983057 HRT983042:HRT983057 IBP983042:IBP983057 ILL983042:ILL983057 IVH983042:IVH983057 JFD983042:JFD983057 JOZ983042:JOZ983057 JYV983042:JYV983057 KIR983042:KIR983057 KSN983042:KSN983057 LCJ983042:LCJ983057 LMF983042:LMF983057 LWB983042:LWB983057 MFX983042:MFX983057 MPT983042:MPT983057 MZP983042:MZP983057 NJL983042:NJL983057 NTH983042:NTH983057 ODD983042:ODD983057 OMZ983042:OMZ983057 OWV983042:OWV983057 PGR983042:PGR983057 PQN983042:PQN983057 QAJ983042:QAJ983057 QKF983042:QKF983057 QUB983042:QUB983057 RDX983042:RDX983057 RNT983042:RNT983057 RXP983042:RXP983057 SHL983042:SHL983057 SRH983042:SRH983057 TBD983042:TBD983057 TKZ983042:TKZ983057 TUV983042:TUV983057 UER983042:UER983057 UON983042:UON983057 UYJ983042:UYJ983057 VIF983042:VIF983057 VSB983042:VSB983057 WBX983042:WBX983057 WLT983042:WLT983057 JD2:JD17 SZ2:SZ17 ACV2:ACV17 AMR2:AMR17 AWN2:AWN17 BGJ2:BGJ17 BQF2:BQF17 CAB2:CAB17 CJX2:CJX17 CTT2:CTT17 DDP2:DDP17 DNL2:DNL17 DXH2:DXH17 EHD2:EHD17 EQZ2:EQZ17 FAV2:FAV17 FKR2:FKR17 FUN2:FUN17 GEJ2:GEJ17 GOF2:GOF17 GYB2:GYB17 HHX2:HHX17 HRT2:HRT17 IBP2:IBP17 ILL2:ILL17 IVH2:IVH17 JFD2:JFD17 JOZ2:JOZ17 JYV2:JYV17 KIR2:KIR17 KSN2:KSN17 LCJ2:LCJ17 LMF2:LMF17 LWB2:LWB17 MFX2:MFX17 MPT2:MPT17 MZP2:MZP17 NJL2:NJL17 NTH2:NTH17 ODD2:ODD17 OMZ2:OMZ17 OWV2:OWV17 PGR2:PGR17 PQN2:PQN17 QAJ2:QAJ17 QKF2:QKF17 QUB2:QUB17 RDX2:RDX17 RNT2:RNT17 RXP2:RXP17 SHL2:SHL17 SRH2:SRH17 TBD2:TBD17 TKZ2:TKZ17 TUV2:TUV17 UER2:UER17 UON2:UON17 UYJ2:UYJ17 VIF2:VIF17 VSB2:VSB17 WBX2:WBX17 WLT2:WLT17 WVP2:WVP17 H2:H17" xr:uid="{29AE9872-7AB3-4896-932E-C2874BD9F8DA}"/>
    <dataValidation imeMode="off" allowBlank="1" showInputMessage="1" showErrorMessage="1" sqref="E29 JA29 SW29 ACS29 AMO29 AWK29 BGG29 BQC29 BZY29 CJU29 CTQ29 DDM29 DNI29 DXE29 EHA29 EQW29 FAS29 FKO29 FUK29 GEG29 GOC29 GXY29 HHU29 HRQ29 IBM29 ILI29 IVE29 JFA29 JOW29 JYS29 KIO29 KSK29 LCG29 LMC29 LVY29 MFU29 MPQ29 MZM29 NJI29 NTE29 ODA29 OMW29 OWS29 PGO29 PQK29 QAG29 QKC29 QTY29 RDU29 RNQ29 RXM29 SHI29 SRE29 TBA29 TKW29 TUS29 UEO29 UOK29 UYG29 VIC29 VRY29 WBU29 WLQ29 WVM29 E65565 JA65565 SW65565 ACS65565 AMO65565 AWK65565 BGG65565 BQC65565 BZY65565 CJU65565 CTQ65565 DDM65565 DNI65565 DXE65565 EHA65565 EQW65565 FAS65565 FKO65565 FUK65565 GEG65565 GOC65565 GXY65565 HHU65565 HRQ65565 IBM65565 ILI65565 IVE65565 JFA65565 JOW65565 JYS65565 KIO65565 KSK65565 LCG65565 LMC65565 LVY65565 MFU65565 MPQ65565 MZM65565 NJI65565 NTE65565 ODA65565 OMW65565 OWS65565 PGO65565 PQK65565 QAG65565 QKC65565 QTY65565 RDU65565 RNQ65565 RXM65565 SHI65565 SRE65565 TBA65565 TKW65565 TUS65565 UEO65565 UOK65565 UYG65565 VIC65565 VRY65565 WBU65565 WLQ65565 WVM65565 E131101 JA131101 SW131101 ACS131101 AMO131101 AWK131101 BGG131101 BQC131101 BZY131101 CJU131101 CTQ131101 DDM131101 DNI131101 DXE131101 EHA131101 EQW131101 FAS131101 FKO131101 FUK131101 GEG131101 GOC131101 GXY131101 HHU131101 HRQ131101 IBM131101 ILI131101 IVE131101 JFA131101 JOW131101 JYS131101 KIO131101 KSK131101 LCG131101 LMC131101 LVY131101 MFU131101 MPQ131101 MZM131101 NJI131101 NTE131101 ODA131101 OMW131101 OWS131101 PGO131101 PQK131101 QAG131101 QKC131101 QTY131101 RDU131101 RNQ131101 RXM131101 SHI131101 SRE131101 TBA131101 TKW131101 TUS131101 UEO131101 UOK131101 UYG131101 VIC131101 VRY131101 WBU131101 WLQ131101 WVM131101 E196637 JA196637 SW196637 ACS196637 AMO196637 AWK196637 BGG196637 BQC196637 BZY196637 CJU196637 CTQ196637 DDM196637 DNI196637 DXE196637 EHA196637 EQW196637 FAS196637 FKO196637 FUK196637 GEG196637 GOC196637 GXY196637 HHU196637 HRQ196637 IBM196637 ILI196637 IVE196637 JFA196637 JOW196637 JYS196637 KIO196637 KSK196637 LCG196637 LMC196637 LVY196637 MFU196637 MPQ196637 MZM196637 NJI196637 NTE196637 ODA196637 OMW196637 OWS196637 PGO196637 PQK196637 QAG196637 QKC196637 QTY196637 RDU196637 RNQ196637 RXM196637 SHI196637 SRE196637 TBA196637 TKW196637 TUS196637 UEO196637 UOK196637 UYG196637 VIC196637 VRY196637 WBU196637 WLQ196637 WVM196637 E262173 JA262173 SW262173 ACS262173 AMO262173 AWK262173 BGG262173 BQC262173 BZY262173 CJU262173 CTQ262173 DDM262173 DNI262173 DXE262173 EHA262173 EQW262173 FAS262173 FKO262173 FUK262173 GEG262173 GOC262173 GXY262173 HHU262173 HRQ262173 IBM262173 ILI262173 IVE262173 JFA262173 JOW262173 JYS262173 KIO262173 KSK262173 LCG262173 LMC262173 LVY262173 MFU262173 MPQ262173 MZM262173 NJI262173 NTE262173 ODA262173 OMW262173 OWS262173 PGO262173 PQK262173 QAG262173 QKC262173 QTY262173 RDU262173 RNQ262173 RXM262173 SHI262173 SRE262173 TBA262173 TKW262173 TUS262173 UEO262173 UOK262173 UYG262173 VIC262173 VRY262173 WBU262173 WLQ262173 WVM262173 E327709 JA327709 SW327709 ACS327709 AMO327709 AWK327709 BGG327709 BQC327709 BZY327709 CJU327709 CTQ327709 DDM327709 DNI327709 DXE327709 EHA327709 EQW327709 FAS327709 FKO327709 FUK327709 GEG327709 GOC327709 GXY327709 HHU327709 HRQ327709 IBM327709 ILI327709 IVE327709 JFA327709 JOW327709 JYS327709 KIO327709 KSK327709 LCG327709 LMC327709 LVY327709 MFU327709 MPQ327709 MZM327709 NJI327709 NTE327709 ODA327709 OMW327709 OWS327709 PGO327709 PQK327709 QAG327709 QKC327709 QTY327709 RDU327709 RNQ327709 RXM327709 SHI327709 SRE327709 TBA327709 TKW327709 TUS327709 UEO327709 UOK327709 UYG327709 VIC327709 VRY327709 WBU327709 WLQ327709 WVM327709 E393245 JA393245 SW393245 ACS393245 AMO393245 AWK393245 BGG393245 BQC393245 BZY393245 CJU393245 CTQ393245 DDM393245 DNI393245 DXE393245 EHA393245 EQW393245 FAS393245 FKO393245 FUK393245 GEG393245 GOC393245 GXY393245 HHU393245 HRQ393245 IBM393245 ILI393245 IVE393245 JFA393245 JOW393245 JYS393245 KIO393245 KSK393245 LCG393245 LMC393245 LVY393245 MFU393245 MPQ393245 MZM393245 NJI393245 NTE393245 ODA393245 OMW393245 OWS393245 PGO393245 PQK393245 QAG393245 QKC393245 QTY393245 RDU393245 RNQ393245 RXM393245 SHI393245 SRE393245 TBA393245 TKW393245 TUS393245 UEO393245 UOK393245 UYG393245 VIC393245 VRY393245 WBU393245 WLQ393245 WVM393245 E458781 JA458781 SW458781 ACS458781 AMO458781 AWK458781 BGG458781 BQC458781 BZY458781 CJU458781 CTQ458781 DDM458781 DNI458781 DXE458781 EHA458781 EQW458781 FAS458781 FKO458781 FUK458781 GEG458781 GOC458781 GXY458781 HHU458781 HRQ458781 IBM458781 ILI458781 IVE458781 JFA458781 JOW458781 JYS458781 KIO458781 KSK458781 LCG458781 LMC458781 LVY458781 MFU458781 MPQ458781 MZM458781 NJI458781 NTE458781 ODA458781 OMW458781 OWS458781 PGO458781 PQK458781 QAG458781 QKC458781 QTY458781 RDU458781 RNQ458781 RXM458781 SHI458781 SRE458781 TBA458781 TKW458781 TUS458781 UEO458781 UOK458781 UYG458781 VIC458781 VRY458781 WBU458781 WLQ458781 WVM458781 E524317 JA524317 SW524317 ACS524317 AMO524317 AWK524317 BGG524317 BQC524317 BZY524317 CJU524317 CTQ524317 DDM524317 DNI524317 DXE524317 EHA524317 EQW524317 FAS524317 FKO524317 FUK524317 GEG524317 GOC524317 GXY524317 HHU524317 HRQ524317 IBM524317 ILI524317 IVE524317 JFA524317 JOW524317 JYS524317 KIO524317 KSK524317 LCG524317 LMC524317 LVY524317 MFU524317 MPQ524317 MZM524317 NJI524317 NTE524317 ODA524317 OMW524317 OWS524317 PGO524317 PQK524317 QAG524317 QKC524317 QTY524317 RDU524317 RNQ524317 RXM524317 SHI524317 SRE524317 TBA524317 TKW524317 TUS524317 UEO524317 UOK524317 UYG524317 VIC524317 VRY524317 WBU524317 WLQ524317 WVM524317 E589853 JA589853 SW589853 ACS589853 AMO589853 AWK589853 BGG589853 BQC589853 BZY589853 CJU589853 CTQ589853 DDM589853 DNI589853 DXE589853 EHA589853 EQW589853 FAS589853 FKO589853 FUK589853 GEG589853 GOC589853 GXY589853 HHU589853 HRQ589853 IBM589853 ILI589853 IVE589853 JFA589853 JOW589853 JYS589853 KIO589853 KSK589853 LCG589853 LMC589853 LVY589853 MFU589853 MPQ589853 MZM589853 NJI589853 NTE589853 ODA589853 OMW589853 OWS589853 PGO589853 PQK589853 QAG589853 QKC589853 QTY589853 RDU589853 RNQ589853 RXM589853 SHI589853 SRE589853 TBA589853 TKW589853 TUS589853 UEO589853 UOK589853 UYG589853 VIC589853 VRY589853 WBU589853 WLQ589853 WVM589853 E655389 JA655389 SW655389 ACS655389 AMO655389 AWK655389 BGG655389 BQC655389 BZY655389 CJU655389 CTQ655389 DDM655389 DNI655389 DXE655389 EHA655389 EQW655389 FAS655389 FKO655389 FUK655389 GEG655389 GOC655389 GXY655389 HHU655389 HRQ655389 IBM655389 ILI655389 IVE655389 JFA655389 JOW655389 JYS655389 KIO655389 KSK655389 LCG655389 LMC655389 LVY655389 MFU655389 MPQ655389 MZM655389 NJI655389 NTE655389 ODA655389 OMW655389 OWS655389 PGO655389 PQK655389 QAG655389 QKC655389 QTY655389 RDU655389 RNQ655389 RXM655389 SHI655389 SRE655389 TBA655389 TKW655389 TUS655389 UEO655389 UOK655389 UYG655389 VIC655389 VRY655389 WBU655389 WLQ655389 WVM655389 E720925 JA720925 SW720925 ACS720925 AMO720925 AWK720925 BGG720925 BQC720925 BZY720925 CJU720925 CTQ720925 DDM720925 DNI720925 DXE720925 EHA720925 EQW720925 FAS720925 FKO720925 FUK720925 GEG720925 GOC720925 GXY720925 HHU720925 HRQ720925 IBM720925 ILI720925 IVE720925 JFA720925 JOW720925 JYS720925 KIO720925 KSK720925 LCG720925 LMC720925 LVY720925 MFU720925 MPQ720925 MZM720925 NJI720925 NTE720925 ODA720925 OMW720925 OWS720925 PGO720925 PQK720925 QAG720925 QKC720925 QTY720925 RDU720925 RNQ720925 RXM720925 SHI720925 SRE720925 TBA720925 TKW720925 TUS720925 UEO720925 UOK720925 UYG720925 VIC720925 VRY720925 WBU720925 WLQ720925 WVM720925 E786461 JA786461 SW786461 ACS786461 AMO786461 AWK786461 BGG786461 BQC786461 BZY786461 CJU786461 CTQ786461 DDM786461 DNI786461 DXE786461 EHA786461 EQW786461 FAS786461 FKO786461 FUK786461 GEG786461 GOC786461 GXY786461 HHU786461 HRQ786461 IBM786461 ILI786461 IVE786461 JFA786461 JOW786461 JYS786461 KIO786461 KSK786461 LCG786461 LMC786461 LVY786461 MFU786461 MPQ786461 MZM786461 NJI786461 NTE786461 ODA786461 OMW786461 OWS786461 PGO786461 PQK786461 QAG786461 QKC786461 QTY786461 RDU786461 RNQ786461 RXM786461 SHI786461 SRE786461 TBA786461 TKW786461 TUS786461 UEO786461 UOK786461 UYG786461 VIC786461 VRY786461 WBU786461 WLQ786461 WVM786461 E851997 JA851997 SW851997 ACS851997 AMO851997 AWK851997 BGG851997 BQC851997 BZY851997 CJU851997 CTQ851997 DDM851997 DNI851997 DXE851997 EHA851997 EQW851997 FAS851997 FKO851997 FUK851997 GEG851997 GOC851997 GXY851997 HHU851997 HRQ851997 IBM851997 ILI851997 IVE851997 JFA851997 JOW851997 JYS851997 KIO851997 KSK851997 LCG851997 LMC851997 LVY851997 MFU851997 MPQ851997 MZM851997 NJI851997 NTE851997 ODA851997 OMW851997 OWS851997 PGO851997 PQK851997 QAG851997 QKC851997 QTY851997 RDU851997 RNQ851997 RXM851997 SHI851997 SRE851997 TBA851997 TKW851997 TUS851997 UEO851997 UOK851997 UYG851997 VIC851997 VRY851997 WBU851997 WLQ851997 WVM851997 E917533 JA917533 SW917533 ACS917533 AMO917533 AWK917533 BGG917533 BQC917533 BZY917533 CJU917533 CTQ917533 DDM917533 DNI917533 DXE917533 EHA917533 EQW917533 FAS917533 FKO917533 FUK917533 GEG917533 GOC917533 GXY917533 HHU917533 HRQ917533 IBM917533 ILI917533 IVE917533 JFA917533 JOW917533 JYS917533 KIO917533 KSK917533 LCG917533 LMC917533 LVY917533 MFU917533 MPQ917533 MZM917533 NJI917533 NTE917533 ODA917533 OMW917533 OWS917533 PGO917533 PQK917533 QAG917533 QKC917533 QTY917533 RDU917533 RNQ917533 RXM917533 SHI917533 SRE917533 TBA917533 TKW917533 TUS917533 UEO917533 UOK917533 UYG917533 VIC917533 VRY917533 WBU917533 WLQ917533 WVM917533 E983069 JA983069 SW983069 ACS983069 AMO983069 AWK983069 BGG983069 BQC983069 BZY983069 CJU983069 CTQ983069 DDM983069 DNI983069 DXE983069 EHA983069 EQW983069 FAS983069 FKO983069 FUK983069 GEG983069 GOC983069 GXY983069 HHU983069 HRQ983069 IBM983069 ILI983069 IVE983069 JFA983069 JOW983069 JYS983069 KIO983069 KSK983069 LCG983069 LMC983069 LVY983069 MFU983069 MPQ983069 MZM983069 NJI983069 NTE983069 ODA983069 OMW983069 OWS983069 PGO983069 PQK983069 QAG983069 QKC983069 QTY983069 RDU983069 RNQ983069 RXM983069 SHI983069 SRE983069 TBA983069 TKW983069 TUS983069 UEO983069 UOK983069 UYG983069 VIC983069 VRY983069 WBU983069 WLQ983069 WVM983069 L65539:M65553 JH65539:JI65553 TD65539:TE65553 ACZ65539:ADA65553 AMV65539:AMW65553 AWR65539:AWS65553 BGN65539:BGO65553 BQJ65539:BQK65553 CAF65539:CAG65553 CKB65539:CKC65553 CTX65539:CTY65553 DDT65539:DDU65553 DNP65539:DNQ65553 DXL65539:DXM65553 EHH65539:EHI65553 ERD65539:ERE65553 FAZ65539:FBA65553 FKV65539:FKW65553 FUR65539:FUS65553 GEN65539:GEO65553 GOJ65539:GOK65553 GYF65539:GYG65553 HIB65539:HIC65553 HRX65539:HRY65553 IBT65539:IBU65553 ILP65539:ILQ65553 IVL65539:IVM65553 JFH65539:JFI65553 JPD65539:JPE65553 JYZ65539:JZA65553 KIV65539:KIW65553 KSR65539:KSS65553 LCN65539:LCO65553 LMJ65539:LMK65553 LWF65539:LWG65553 MGB65539:MGC65553 MPX65539:MPY65553 MZT65539:MZU65553 NJP65539:NJQ65553 NTL65539:NTM65553 ODH65539:ODI65553 OND65539:ONE65553 OWZ65539:OXA65553 PGV65539:PGW65553 PQR65539:PQS65553 QAN65539:QAO65553 QKJ65539:QKK65553 QUF65539:QUG65553 REB65539:REC65553 RNX65539:RNY65553 RXT65539:RXU65553 SHP65539:SHQ65553 SRL65539:SRM65553 TBH65539:TBI65553 TLD65539:TLE65553 TUZ65539:TVA65553 UEV65539:UEW65553 UOR65539:UOS65553 UYN65539:UYO65553 VIJ65539:VIK65553 VSF65539:VSG65553 WCB65539:WCC65553 WLX65539:WLY65553 WVT65539:WVU65553 L131075:M131089 JH131075:JI131089 TD131075:TE131089 ACZ131075:ADA131089 AMV131075:AMW131089 AWR131075:AWS131089 BGN131075:BGO131089 BQJ131075:BQK131089 CAF131075:CAG131089 CKB131075:CKC131089 CTX131075:CTY131089 DDT131075:DDU131089 DNP131075:DNQ131089 DXL131075:DXM131089 EHH131075:EHI131089 ERD131075:ERE131089 FAZ131075:FBA131089 FKV131075:FKW131089 FUR131075:FUS131089 GEN131075:GEO131089 GOJ131075:GOK131089 GYF131075:GYG131089 HIB131075:HIC131089 HRX131075:HRY131089 IBT131075:IBU131089 ILP131075:ILQ131089 IVL131075:IVM131089 JFH131075:JFI131089 JPD131075:JPE131089 JYZ131075:JZA131089 KIV131075:KIW131089 KSR131075:KSS131089 LCN131075:LCO131089 LMJ131075:LMK131089 LWF131075:LWG131089 MGB131075:MGC131089 MPX131075:MPY131089 MZT131075:MZU131089 NJP131075:NJQ131089 NTL131075:NTM131089 ODH131075:ODI131089 OND131075:ONE131089 OWZ131075:OXA131089 PGV131075:PGW131089 PQR131075:PQS131089 QAN131075:QAO131089 QKJ131075:QKK131089 QUF131075:QUG131089 REB131075:REC131089 RNX131075:RNY131089 RXT131075:RXU131089 SHP131075:SHQ131089 SRL131075:SRM131089 TBH131075:TBI131089 TLD131075:TLE131089 TUZ131075:TVA131089 UEV131075:UEW131089 UOR131075:UOS131089 UYN131075:UYO131089 VIJ131075:VIK131089 VSF131075:VSG131089 WCB131075:WCC131089 WLX131075:WLY131089 WVT131075:WVU131089 L196611:M196625 JH196611:JI196625 TD196611:TE196625 ACZ196611:ADA196625 AMV196611:AMW196625 AWR196611:AWS196625 BGN196611:BGO196625 BQJ196611:BQK196625 CAF196611:CAG196625 CKB196611:CKC196625 CTX196611:CTY196625 DDT196611:DDU196625 DNP196611:DNQ196625 DXL196611:DXM196625 EHH196611:EHI196625 ERD196611:ERE196625 FAZ196611:FBA196625 FKV196611:FKW196625 FUR196611:FUS196625 GEN196611:GEO196625 GOJ196611:GOK196625 GYF196611:GYG196625 HIB196611:HIC196625 HRX196611:HRY196625 IBT196611:IBU196625 ILP196611:ILQ196625 IVL196611:IVM196625 JFH196611:JFI196625 JPD196611:JPE196625 JYZ196611:JZA196625 KIV196611:KIW196625 KSR196611:KSS196625 LCN196611:LCO196625 LMJ196611:LMK196625 LWF196611:LWG196625 MGB196611:MGC196625 MPX196611:MPY196625 MZT196611:MZU196625 NJP196611:NJQ196625 NTL196611:NTM196625 ODH196611:ODI196625 OND196611:ONE196625 OWZ196611:OXA196625 PGV196611:PGW196625 PQR196611:PQS196625 QAN196611:QAO196625 QKJ196611:QKK196625 QUF196611:QUG196625 REB196611:REC196625 RNX196611:RNY196625 RXT196611:RXU196625 SHP196611:SHQ196625 SRL196611:SRM196625 TBH196611:TBI196625 TLD196611:TLE196625 TUZ196611:TVA196625 UEV196611:UEW196625 UOR196611:UOS196625 UYN196611:UYO196625 VIJ196611:VIK196625 VSF196611:VSG196625 WCB196611:WCC196625 WLX196611:WLY196625 WVT196611:WVU196625 L262147:M262161 JH262147:JI262161 TD262147:TE262161 ACZ262147:ADA262161 AMV262147:AMW262161 AWR262147:AWS262161 BGN262147:BGO262161 BQJ262147:BQK262161 CAF262147:CAG262161 CKB262147:CKC262161 CTX262147:CTY262161 DDT262147:DDU262161 DNP262147:DNQ262161 DXL262147:DXM262161 EHH262147:EHI262161 ERD262147:ERE262161 FAZ262147:FBA262161 FKV262147:FKW262161 FUR262147:FUS262161 GEN262147:GEO262161 GOJ262147:GOK262161 GYF262147:GYG262161 HIB262147:HIC262161 HRX262147:HRY262161 IBT262147:IBU262161 ILP262147:ILQ262161 IVL262147:IVM262161 JFH262147:JFI262161 JPD262147:JPE262161 JYZ262147:JZA262161 KIV262147:KIW262161 KSR262147:KSS262161 LCN262147:LCO262161 LMJ262147:LMK262161 LWF262147:LWG262161 MGB262147:MGC262161 MPX262147:MPY262161 MZT262147:MZU262161 NJP262147:NJQ262161 NTL262147:NTM262161 ODH262147:ODI262161 OND262147:ONE262161 OWZ262147:OXA262161 PGV262147:PGW262161 PQR262147:PQS262161 QAN262147:QAO262161 QKJ262147:QKK262161 QUF262147:QUG262161 REB262147:REC262161 RNX262147:RNY262161 RXT262147:RXU262161 SHP262147:SHQ262161 SRL262147:SRM262161 TBH262147:TBI262161 TLD262147:TLE262161 TUZ262147:TVA262161 UEV262147:UEW262161 UOR262147:UOS262161 UYN262147:UYO262161 VIJ262147:VIK262161 VSF262147:VSG262161 WCB262147:WCC262161 WLX262147:WLY262161 WVT262147:WVU262161 L327683:M327697 JH327683:JI327697 TD327683:TE327697 ACZ327683:ADA327697 AMV327683:AMW327697 AWR327683:AWS327697 BGN327683:BGO327697 BQJ327683:BQK327697 CAF327683:CAG327697 CKB327683:CKC327697 CTX327683:CTY327697 DDT327683:DDU327697 DNP327683:DNQ327697 DXL327683:DXM327697 EHH327683:EHI327697 ERD327683:ERE327697 FAZ327683:FBA327697 FKV327683:FKW327697 FUR327683:FUS327697 GEN327683:GEO327697 GOJ327683:GOK327697 GYF327683:GYG327697 HIB327683:HIC327697 HRX327683:HRY327697 IBT327683:IBU327697 ILP327683:ILQ327697 IVL327683:IVM327697 JFH327683:JFI327697 JPD327683:JPE327697 JYZ327683:JZA327697 KIV327683:KIW327697 KSR327683:KSS327697 LCN327683:LCO327697 LMJ327683:LMK327697 LWF327683:LWG327697 MGB327683:MGC327697 MPX327683:MPY327697 MZT327683:MZU327697 NJP327683:NJQ327697 NTL327683:NTM327697 ODH327683:ODI327697 OND327683:ONE327697 OWZ327683:OXA327697 PGV327683:PGW327697 PQR327683:PQS327697 QAN327683:QAO327697 QKJ327683:QKK327697 QUF327683:QUG327697 REB327683:REC327697 RNX327683:RNY327697 RXT327683:RXU327697 SHP327683:SHQ327697 SRL327683:SRM327697 TBH327683:TBI327697 TLD327683:TLE327697 TUZ327683:TVA327697 UEV327683:UEW327697 UOR327683:UOS327697 UYN327683:UYO327697 VIJ327683:VIK327697 VSF327683:VSG327697 WCB327683:WCC327697 WLX327683:WLY327697 WVT327683:WVU327697 L393219:M393233 JH393219:JI393233 TD393219:TE393233 ACZ393219:ADA393233 AMV393219:AMW393233 AWR393219:AWS393233 BGN393219:BGO393233 BQJ393219:BQK393233 CAF393219:CAG393233 CKB393219:CKC393233 CTX393219:CTY393233 DDT393219:DDU393233 DNP393219:DNQ393233 DXL393219:DXM393233 EHH393219:EHI393233 ERD393219:ERE393233 FAZ393219:FBA393233 FKV393219:FKW393233 FUR393219:FUS393233 GEN393219:GEO393233 GOJ393219:GOK393233 GYF393219:GYG393233 HIB393219:HIC393233 HRX393219:HRY393233 IBT393219:IBU393233 ILP393219:ILQ393233 IVL393219:IVM393233 JFH393219:JFI393233 JPD393219:JPE393233 JYZ393219:JZA393233 KIV393219:KIW393233 KSR393219:KSS393233 LCN393219:LCO393233 LMJ393219:LMK393233 LWF393219:LWG393233 MGB393219:MGC393233 MPX393219:MPY393233 MZT393219:MZU393233 NJP393219:NJQ393233 NTL393219:NTM393233 ODH393219:ODI393233 OND393219:ONE393233 OWZ393219:OXA393233 PGV393219:PGW393233 PQR393219:PQS393233 QAN393219:QAO393233 QKJ393219:QKK393233 QUF393219:QUG393233 REB393219:REC393233 RNX393219:RNY393233 RXT393219:RXU393233 SHP393219:SHQ393233 SRL393219:SRM393233 TBH393219:TBI393233 TLD393219:TLE393233 TUZ393219:TVA393233 UEV393219:UEW393233 UOR393219:UOS393233 UYN393219:UYO393233 VIJ393219:VIK393233 VSF393219:VSG393233 WCB393219:WCC393233 WLX393219:WLY393233 WVT393219:WVU393233 L458755:M458769 JH458755:JI458769 TD458755:TE458769 ACZ458755:ADA458769 AMV458755:AMW458769 AWR458755:AWS458769 BGN458755:BGO458769 BQJ458755:BQK458769 CAF458755:CAG458769 CKB458755:CKC458769 CTX458755:CTY458769 DDT458755:DDU458769 DNP458755:DNQ458769 DXL458755:DXM458769 EHH458755:EHI458769 ERD458755:ERE458769 FAZ458755:FBA458769 FKV458755:FKW458769 FUR458755:FUS458769 GEN458755:GEO458769 GOJ458755:GOK458769 GYF458755:GYG458769 HIB458755:HIC458769 HRX458755:HRY458769 IBT458755:IBU458769 ILP458755:ILQ458769 IVL458755:IVM458769 JFH458755:JFI458769 JPD458755:JPE458769 JYZ458755:JZA458769 KIV458755:KIW458769 KSR458755:KSS458769 LCN458755:LCO458769 LMJ458755:LMK458769 LWF458755:LWG458769 MGB458755:MGC458769 MPX458755:MPY458769 MZT458755:MZU458769 NJP458755:NJQ458769 NTL458755:NTM458769 ODH458755:ODI458769 OND458755:ONE458769 OWZ458755:OXA458769 PGV458755:PGW458769 PQR458755:PQS458769 QAN458755:QAO458769 QKJ458755:QKK458769 QUF458755:QUG458769 REB458755:REC458769 RNX458755:RNY458769 RXT458755:RXU458769 SHP458755:SHQ458769 SRL458755:SRM458769 TBH458755:TBI458769 TLD458755:TLE458769 TUZ458755:TVA458769 UEV458755:UEW458769 UOR458755:UOS458769 UYN458755:UYO458769 VIJ458755:VIK458769 VSF458755:VSG458769 WCB458755:WCC458769 WLX458755:WLY458769 WVT458755:WVU458769 L524291:M524305 JH524291:JI524305 TD524291:TE524305 ACZ524291:ADA524305 AMV524291:AMW524305 AWR524291:AWS524305 BGN524291:BGO524305 BQJ524291:BQK524305 CAF524291:CAG524305 CKB524291:CKC524305 CTX524291:CTY524305 DDT524291:DDU524305 DNP524291:DNQ524305 DXL524291:DXM524305 EHH524291:EHI524305 ERD524291:ERE524305 FAZ524291:FBA524305 FKV524291:FKW524305 FUR524291:FUS524305 GEN524291:GEO524305 GOJ524291:GOK524305 GYF524291:GYG524305 HIB524291:HIC524305 HRX524291:HRY524305 IBT524291:IBU524305 ILP524291:ILQ524305 IVL524291:IVM524305 JFH524291:JFI524305 JPD524291:JPE524305 JYZ524291:JZA524305 KIV524291:KIW524305 KSR524291:KSS524305 LCN524291:LCO524305 LMJ524291:LMK524305 LWF524291:LWG524305 MGB524291:MGC524305 MPX524291:MPY524305 MZT524291:MZU524305 NJP524291:NJQ524305 NTL524291:NTM524305 ODH524291:ODI524305 OND524291:ONE524305 OWZ524291:OXA524305 PGV524291:PGW524305 PQR524291:PQS524305 QAN524291:QAO524305 QKJ524291:QKK524305 QUF524291:QUG524305 REB524291:REC524305 RNX524291:RNY524305 RXT524291:RXU524305 SHP524291:SHQ524305 SRL524291:SRM524305 TBH524291:TBI524305 TLD524291:TLE524305 TUZ524291:TVA524305 UEV524291:UEW524305 UOR524291:UOS524305 UYN524291:UYO524305 VIJ524291:VIK524305 VSF524291:VSG524305 WCB524291:WCC524305 WLX524291:WLY524305 WVT524291:WVU524305 L589827:M589841 JH589827:JI589841 TD589827:TE589841 ACZ589827:ADA589841 AMV589827:AMW589841 AWR589827:AWS589841 BGN589827:BGO589841 BQJ589827:BQK589841 CAF589827:CAG589841 CKB589827:CKC589841 CTX589827:CTY589841 DDT589827:DDU589841 DNP589827:DNQ589841 DXL589827:DXM589841 EHH589827:EHI589841 ERD589827:ERE589841 FAZ589827:FBA589841 FKV589827:FKW589841 FUR589827:FUS589841 GEN589827:GEO589841 GOJ589827:GOK589841 GYF589827:GYG589841 HIB589827:HIC589841 HRX589827:HRY589841 IBT589827:IBU589841 ILP589827:ILQ589841 IVL589827:IVM589841 JFH589827:JFI589841 JPD589827:JPE589841 JYZ589827:JZA589841 KIV589827:KIW589841 KSR589827:KSS589841 LCN589827:LCO589841 LMJ589827:LMK589841 LWF589827:LWG589841 MGB589827:MGC589841 MPX589827:MPY589841 MZT589827:MZU589841 NJP589827:NJQ589841 NTL589827:NTM589841 ODH589827:ODI589841 OND589827:ONE589841 OWZ589827:OXA589841 PGV589827:PGW589841 PQR589827:PQS589841 QAN589827:QAO589841 QKJ589827:QKK589841 QUF589827:QUG589841 REB589827:REC589841 RNX589827:RNY589841 RXT589827:RXU589841 SHP589827:SHQ589841 SRL589827:SRM589841 TBH589827:TBI589841 TLD589827:TLE589841 TUZ589827:TVA589841 UEV589827:UEW589841 UOR589827:UOS589841 UYN589827:UYO589841 VIJ589827:VIK589841 VSF589827:VSG589841 WCB589827:WCC589841 WLX589827:WLY589841 WVT589827:WVU589841 L655363:M655377 JH655363:JI655377 TD655363:TE655377 ACZ655363:ADA655377 AMV655363:AMW655377 AWR655363:AWS655377 BGN655363:BGO655377 BQJ655363:BQK655377 CAF655363:CAG655377 CKB655363:CKC655377 CTX655363:CTY655377 DDT655363:DDU655377 DNP655363:DNQ655377 DXL655363:DXM655377 EHH655363:EHI655377 ERD655363:ERE655377 FAZ655363:FBA655377 FKV655363:FKW655377 FUR655363:FUS655377 GEN655363:GEO655377 GOJ655363:GOK655377 GYF655363:GYG655377 HIB655363:HIC655377 HRX655363:HRY655377 IBT655363:IBU655377 ILP655363:ILQ655377 IVL655363:IVM655377 JFH655363:JFI655377 JPD655363:JPE655377 JYZ655363:JZA655377 KIV655363:KIW655377 KSR655363:KSS655377 LCN655363:LCO655377 LMJ655363:LMK655377 LWF655363:LWG655377 MGB655363:MGC655377 MPX655363:MPY655377 MZT655363:MZU655377 NJP655363:NJQ655377 NTL655363:NTM655377 ODH655363:ODI655377 OND655363:ONE655377 OWZ655363:OXA655377 PGV655363:PGW655377 PQR655363:PQS655377 QAN655363:QAO655377 QKJ655363:QKK655377 QUF655363:QUG655377 REB655363:REC655377 RNX655363:RNY655377 RXT655363:RXU655377 SHP655363:SHQ655377 SRL655363:SRM655377 TBH655363:TBI655377 TLD655363:TLE655377 TUZ655363:TVA655377 UEV655363:UEW655377 UOR655363:UOS655377 UYN655363:UYO655377 VIJ655363:VIK655377 VSF655363:VSG655377 WCB655363:WCC655377 WLX655363:WLY655377 WVT655363:WVU655377 L720899:M720913 JH720899:JI720913 TD720899:TE720913 ACZ720899:ADA720913 AMV720899:AMW720913 AWR720899:AWS720913 BGN720899:BGO720913 BQJ720899:BQK720913 CAF720899:CAG720913 CKB720899:CKC720913 CTX720899:CTY720913 DDT720899:DDU720913 DNP720899:DNQ720913 DXL720899:DXM720913 EHH720899:EHI720913 ERD720899:ERE720913 FAZ720899:FBA720913 FKV720899:FKW720913 FUR720899:FUS720913 GEN720899:GEO720913 GOJ720899:GOK720913 GYF720899:GYG720913 HIB720899:HIC720913 HRX720899:HRY720913 IBT720899:IBU720913 ILP720899:ILQ720913 IVL720899:IVM720913 JFH720899:JFI720913 JPD720899:JPE720913 JYZ720899:JZA720913 KIV720899:KIW720913 KSR720899:KSS720913 LCN720899:LCO720913 LMJ720899:LMK720913 LWF720899:LWG720913 MGB720899:MGC720913 MPX720899:MPY720913 MZT720899:MZU720913 NJP720899:NJQ720913 NTL720899:NTM720913 ODH720899:ODI720913 OND720899:ONE720913 OWZ720899:OXA720913 PGV720899:PGW720913 PQR720899:PQS720913 QAN720899:QAO720913 QKJ720899:QKK720913 QUF720899:QUG720913 REB720899:REC720913 RNX720899:RNY720913 RXT720899:RXU720913 SHP720899:SHQ720913 SRL720899:SRM720913 TBH720899:TBI720913 TLD720899:TLE720913 TUZ720899:TVA720913 UEV720899:UEW720913 UOR720899:UOS720913 UYN720899:UYO720913 VIJ720899:VIK720913 VSF720899:VSG720913 WCB720899:WCC720913 WLX720899:WLY720913 WVT720899:WVU720913 L786435:M786449 JH786435:JI786449 TD786435:TE786449 ACZ786435:ADA786449 AMV786435:AMW786449 AWR786435:AWS786449 BGN786435:BGO786449 BQJ786435:BQK786449 CAF786435:CAG786449 CKB786435:CKC786449 CTX786435:CTY786449 DDT786435:DDU786449 DNP786435:DNQ786449 DXL786435:DXM786449 EHH786435:EHI786449 ERD786435:ERE786449 FAZ786435:FBA786449 FKV786435:FKW786449 FUR786435:FUS786449 GEN786435:GEO786449 GOJ786435:GOK786449 GYF786435:GYG786449 HIB786435:HIC786449 HRX786435:HRY786449 IBT786435:IBU786449 ILP786435:ILQ786449 IVL786435:IVM786449 JFH786435:JFI786449 JPD786435:JPE786449 JYZ786435:JZA786449 KIV786435:KIW786449 KSR786435:KSS786449 LCN786435:LCO786449 LMJ786435:LMK786449 LWF786435:LWG786449 MGB786435:MGC786449 MPX786435:MPY786449 MZT786435:MZU786449 NJP786435:NJQ786449 NTL786435:NTM786449 ODH786435:ODI786449 OND786435:ONE786449 OWZ786435:OXA786449 PGV786435:PGW786449 PQR786435:PQS786449 QAN786435:QAO786449 QKJ786435:QKK786449 QUF786435:QUG786449 REB786435:REC786449 RNX786435:RNY786449 RXT786435:RXU786449 SHP786435:SHQ786449 SRL786435:SRM786449 TBH786435:TBI786449 TLD786435:TLE786449 TUZ786435:TVA786449 UEV786435:UEW786449 UOR786435:UOS786449 UYN786435:UYO786449 VIJ786435:VIK786449 VSF786435:VSG786449 WCB786435:WCC786449 WLX786435:WLY786449 WVT786435:WVU786449 L851971:M851985 JH851971:JI851985 TD851971:TE851985 ACZ851971:ADA851985 AMV851971:AMW851985 AWR851971:AWS851985 BGN851971:BGO851985 BQJ851971:BQK851985 CAF851971:CAG851985 CKB851971:CKC851985 CTX851971:CTY851985 DDT851971:DDU851985 DNP851971:DNQ851985 DXL851971:DXM851985 EHH851971:EHI851985 ERD851971:ERE851985 FAZ851971:FBA851985 FKV851971:FKW851985 FUR851971:FUS851985 GEN851971:GEO851985 GOJ851971:GOK851985 GYF851971:GYG851985 HIB851971:HIC851985 HRX851971:HRY851985 IBT851971:IBU851985 ILP851971:ILQ851985 IVL851971:IVM851985 JFH851971:JFI851985 JPD851971:JPE851985 JYZ851971:JZA851985 KIV851971:KIW851985 KSR851971:KSS851985 LCN851971:LCO851985 LMJ851971:LMK851985 LWF851971:LWG851985 MGB851971:MGC851985 MPX851971:MPY851985 MZT851971:MZU851985 NJP851971:NJQ851985 NTL851971:NTM851985 ODH851971:ODI851985 OND851971:ONE851985 OWZ851971:OXA851985 PGV851971:PGW851985 PQR851971:PQS851985 QAN851971:QAO851985 QKJ851971:QKK851985 QUF851971:QUG851985 REB851971:REC851985 RNX851971:RNY851985 RXT851971:RXU851985 SHP851971:SHQ851985 SRL851971:SRM851985 TBH851971:TBI851985 TLD851971:TLE851985 TUZ851971:TVA851985 UEV851971:UEW851985 UOR851971:UOS851985 UYN851971:UYO851985 VIJ851971:VIK851985 VSF851971:VSG851985 WCB851971:WCC851985 WLX851971:WLY851985 WVT851971:WVU851985 L917507:M917521 JH917507:JI917521 TD917507:TE917521 ACZ917507:ADA917521 AMV917507:AMW917521 AWR917507:AWS917521 BGN917507:BGO917521 BQJ917507:BQK917521 CAF917507:CAG917521 CKB917507:CKC917521 CTX917507:CTY917521 DDT917507:DDU917521 DNP917507:DNQ917521 DXL917507:DXM917521 EHH917507:EHI917521 ERD917507:ERE917521 FAZ917507:FBA917521 FKV917507:FKW917521 FUR917507:FUS917521 GEN917507:GEO917521 GOJ917507:GOK917521 GYF917507:GYG917521 HIB917507:HIC917521 HRX917507:HRY917521 IBT917507:IBU917521 ILP917507:ILQ917521 IVL917507:IVM917521 JFH917507:JFI917521 JPD917507:JPE917521 JYZ917507:JZA917521 KIV917507:KIW917521 KSR917507:KSS917521 LCN917507:LCO917521 LMJ917507:LMK917521 LWF917507:LWG917521 MGB917507:MGC917521 MPX917507:MPY917521 MZT917507:MZU917521 NJP917507:NJQ917521 NTL917507:NTM917521 ODH917507:ODI917521 OND917507:ONE917521 OWZ917507:OXA917521 PGV917507:PGW917521 PQR917507:PQS917521 QAN917507:QAO917521 QKJ917507:QKK917521 QUF917507:QUG917521 REB917507:REC917521 RNX917507:RNY917521 RXT917507:RXU917521 SHP917507:SHQ917521 SRL917507:SRM917521 TBH917507:TBI917521 TLD917507:TLE917521 TUZ917507:TVA917521 UEV917507:UEW917521 UOR917507:UOS917521 UYN917507:UYO917521 VIJ917507:VIK917521 VSF917507:VSG917521 WCB917507:WCC917521 WLX917507:WLY917521 WVT917507:WVU917521 L983043:M983057 JH983043:JI983057 TD983043:TE983057 ACZ983043:ADA983057 AMV983043:AMW983057 AWR983043:AWS983057 BGN983043:BGO983057 BQJ983043:BQK983057 CAF983043:CAG983057 CKB983043:CKC983057 CTX983043:CTY983057 DDT983043:DDU983057 DNP983043:DNQ983057 DXL983043:DXM983057 EHH983043:EHI983057 ERD983043:ERE983057 FAZ983043:FBA983057 FKV983043:FKW983057 FUR983043:FUS983057 GEN983043:GEO983057 GOJ983043:GOK983057 GYF983043:GYG983057 HIB983043:HIC983057 HRX983043:HRY983057 IBT983043:IBU983057 ILP983043:ILQ983057 IVL983043:IVM983057 JFH983043:JFI983057 JPD983043:JPE983057 JYZ983043:JZA983057 KIV983043:KIW983057 KSR983043:KSS983057 LCN983043:LCO983057 LMJ983043:LMK983057 LWF983043:LWG983057 MGB983043:MGC983057 MPX983043:MPY983057 MZT983043:MZU983057 NJP983043:NJQ983057 NTL983043:NTM983057 ODH983043:ODI983057 OND983043:ONE983057 OWZ983043:OXA983057 PGV983043:PGW983057 PQR983043:PQS983057 QAN983043:QAO983057 QKJ983043:QKK983057 QUF983043:QUG983057 REB983043:REC983057 RNX983043:RNY983057 RXT983043:RXU983057 SHP983043:SHQ983057 SRL983043:SRM983057 TBH983043:TBI983057 TLD983043:TLE983057 TUZ983043:TVA983057 UEV983043:UEW983057 UOR983043:UOS983057 UYN983043:UYO983057 VIJ983043:VIK983057 VSF983043:VSG983057 WCB983043:WCC983057 WLX983043:WLY983057 WVT983043:WVU983057 T26:Y27 JP26:JU27 TL26:TQ27 ADH26:ADM27 AND26:ANI27 AWZ26:AXE27 BGV26:BHA27 BQR26:BQW27 CAN26:CAS27 CKJ26:CKO27 CUF26:CUK27 DEB26:DEG27 DNX26:DOC27 DXT26:DXY27 EHP26:EHU27 ERL26:ERQ27 FBH26:FBM27 FLD26:FLI27 FUZ26:FVE27 GEV26:GFA27 GOR26:GOW27 GYN26:GYS27 HIJ26:HIO27 HSF26:HSK27 ICB26:ICG27 ILX26:IMC27 IVT26:IVY27 JFP26:JFU27 JPL26:JPQ27 JZH26:JZM27 KJD26:KJI27 KSZ26:KTE27 LCV26:LDA27 LMR26:LMW27 LWN26:LWS27 MGJ26:MGO27 MQF26:MQK27 NAB26:NAG27 NJX26:NKC27 NTT26:NTY27 ODP26:ODU27 ONL26:ONQ27 OXH26:OXM27 PHD26:PHI27 PQZ26:PRE27 QAV26:QBA27 QKR26:QKW27 QUN26:QUS27 REJ26:REO27 ROF26:ROK27 RYB26:RYG27 SHX26:SIC27 SRT26:SRY27 TBP26:TBU27 TLL26:TLQ27 TVH26:TVM27 UFD26:UFI27 UOZ26:UPE27 UYV26:UZA27 VIR26:VIW27 VSN26:VSS27 WCJ26:WCO27 WMF26:WMK27 WWB26:WWG27 T65562:Y65563 JP65562:JU65563 TL65562:TQ65563 ADH65562:ADM65563 AND65562:ANI65563 AWZ65562:AXE65563 BGV65562:BHA65563 BQR65562:BQW65563 CAN65562:CAS65563 CKJ65562:CKO65563 CUF65562:CUK65563 DEB65562:DEG65563 DNX65562:DOC65563 DXT65562:DXY65563 EHP65562:EHU65563 ERL65562:ERQ65563 FBH65562:FBM65563 FLD65562:FLI65563 FUZ65562:FVE65563 GEV65562:GFA65563 GOR65562:GOW65563 GYN65562:GYS65563 HIJ65562:HIO65563 HSF65562:HSK65563 ICB65562:ICG65563 ILX65562:IMC65563 IVT65562:IVY65563 JFP65562:JFU65563 JPL65562:JPQ65563 JZH65562:JZM65563 KJD65562:KJI65563 KSZ65562:KTE65563 LCV65562:LDA65563 LMR65562:LMW65563 LWN65562:LWS65563 MGJ65562:MGO65563 MQF65562:MQK65563 NAB65562:NAG65563 NJX65562:NKC65563 NTT65562:NTY65563 ODP65562:ODU65563 ONL65562:ONQ65563 OXH65562:OXM65563 PHD65562:PHI65563 PQZ65562:PRE65563 QAV65562:QBA65563 QKR65562:QKW65563 QUN65562:QUS65563 REJ65562:REO65563 ROF65562:ROK65563 RYB65562:RYG65563 SHX65562:SIC65563 SRT65562:SRY65563 TBP65562:TBU65563 TLL65562:TLQ65563 TVH65562:TVM65563 UFD65562:UFI65563 UOZ65562:UPE65563 UYV65562:UZA65563 VIR65562:VIW65563 VSN65562:VSS65563 WCJ65562:WCO65563 WMF65562:WMK65563 WWB65562:WWG65563 T131098:Y131099 JP131098:JU131099 TL131098:TQ131099 ADH131098:ADM131099 AND131098:ANI131099 AWZ131098:AXE131099 BGV131098:BHA131099 BQR131098:BQW131099 CAN131098:CAS131099 CKJ131098:CKO131099 CUF131098:CUK131099 DEB131098:DEG131099 DNX131098:DOC131099 DXT131098:DXY131099 EHP131098:EHU131099 ERL131098:ERQ131099 FBH131098:FBM131099 FLD131098:FLI131099 FUZ131098:FVE131099 GEV131098:GFA131099 GOR131098:GOW131099 GYN131098:GYS131099 HIJ131098:HIO131099 HSF131098:HSK131099 ICB131098:ICG131099 ILX131098:IMC131099 IVT131098:IVY131099 JFP131098:JFU131099 JPL131098:JPQ131099 JZH131098:JZM131099 KJD131098:KJI131099 KSZ131098:KTE131099 LCV131098:LDA131099 LMR131098:LMW131099 LWN131098:LWS131099 MGJ131098:MGO131099 MQF131098:MQK131099 NAB131098:NAG131099 NJX131098:NKC131099 NTT131098:NTY131099 ODP131098:ODU131099 ONL131098:ONQ131099 OXH131098:OXM131099 PHD131098:PHI131099 PQZ131098:PRE131099 QAV131098:QBA131099 QKR131098:QKW131099 QUN131098:QUS131099 REJ131098:REO131099 ROF131098:ROK131099 RYB131098:RYG131099 SHX131098:SIC131099 SRT131098:SRY131099 TBP131098:TBU131099 TLL131098:TLQ131099 TVH131098:TVM131099 UFD131098:UFI131099 UOZ131098:UPE131099 UYV131098:UZA131099 VIR131098:VIW131099 VSN131098:VSS131099 WCJ131098:WCO131099 WMF131098:WMK131099 WWB131098:WWG131099 T196634:Y196635 JP196634:JU196635 TL196634:TQ196635 ADH196634:ADM196635 AND196634:ANI196635 AWZ196634:AXE196635 BGV196634:BHA196635 BQR196634:BQW196635 CAN196634:CAS196635 CKJ196634:CKO196635 CUF196634:CUK196635 DEB196634:DEG196635 DNX196634:DOC196635 DXT196634:DXY196635 EHP196634:EHU196635 ERL196634:ERQ196635 FBH196634:FBM196635 FLD196634:FLI196635 FUZ196634:FVE196635 GEV196634:GFA196635 GOR196634:GOW196635 GYN196634:GYS196635 HIJ196634:HIO196635 HSF196634:HSK196635 ICB196634:ICG196635 ILX196634:IMC196635 IVT196634:IVY196635 JFP196634:JFU196635 JPL196634:JPQ196635 JZH196634:JZM196635 KJD196634:KJI196635 KSZ196634:KTE196635 LCV196634:LDA196635 LMR196634:LMW196635 LWN196634:LWS196635 MGJ196634:MGO196635 MQF196634:MQK196635 NAB196634:NAG196635 NJX196634:NKC196635 NTT196634:NTY196635 ODP196634:ODU196635 ONL196634:ONQ196635 OXH196634:OXM196635 PHD196634:PHI196635 PQZ196634:PRE196635 QAV196634:QBA196635 QKR196634:QKW196635 QUN196634:QUS196635 REJ196634:REO196635 ROF196634:ROK196635 RYB196634:RYG196635 SHX196634:SIC196635 SRT196634:SRY196635 TBP196634:TBU196635 TLL196634:TLQ196635 TVH196634:TVM196635 UFD196634:UFI196635 UOZ196634:UPE196635 UYV196634:UZA196635 VIR196634:VIW196635 VSN196634:VSS196635 WCJ196634:WCO196635 WMF196634:WMK196635 WWB196634:WWG196635 T262170:Y262171 JP262170:JU262171 TL262170:TQ262171 ADH262170:ADM262171 AND262170:ANI262171 AWZ262170:AXE262171 BGV262170:BHA262171 BQR262170:BQW262171 CAN262170:CAS262171 CKJ262170:CKO262171 CUF262170:CUK262171 DEB262170:DEG262171 DNX262170:DOC262171 DXT262170:DXY262171 EHP262170:EHU262171 ERL262170:ERQ262171 FBH262170:FBM262171 FLD262170:FLI262171 FUZ262170:FVE262171 GEV262170:GFA262171 GOR262170:GOW262171 GYN262170:GYS262171 HIJ262170:HIO262171 HSF262170:HSK262171 ICB262170:ICG262171 ILX262170:IMC262171 IVT262170:IVY262171 JFP262170:JFU262171 JPL262170:JPQ262171 JZH262170:JZM262171 KJD262170:KJI262171 KSZ262170:KTE262171 LCV262170:LDA262171 LMR262170:LMW262171 LWN262170:LWS262171 MGJ262170:MGO262171 MQF262170:MQK262171 NAB262170:NAG262171 NJX262170:NKC262171 NTT262170:NTY262171 ODP262170:ODU262171 ONL262170:ONQ262171 OXH262170:OXM262171 PHD262170:PHI262171 PQZ262170:PRE262171 QAV262170:QBA262171 QKR262170:QKW262171 QUN262170:QUS262171 REJ262170:REO262171 ROF262170:ROK262171 RYB262170:RYG262171 SHX262170:SIC262171 SRT262170:SRY262171 TBP262170:TBU262171 TLL262170:TLQ262171 TVH262170:TVM262171 UFD262170:UFI262171 UOZ262170:UPE262171 UYV262170:UZA262171 VIR262170:VIW262171 VSN262170:VSS262171 WCJ262170:WCO262171 WMF262170:WMK262171 WWB262170:WWG262171 T327706:Y327707 JP327706:JU327707 TL327706:TQ327707 ADH327706:ADM327707 AND327706:ANI327707 AWZ327706:AXE327707 BGV327706:BHA327707 BQR327706:BQW327707 CAN327706:CAS327707 CKJ327706:CKO327707 CUF327706:CUK327707 DEB327706:DEG327707 DNX327706:DOC327707 DXT327706:DXY327707 EHP327706:EHU327707 ERL327706:ERQ327707 FBH327706:FBM327707 FLD327706:FLI327707 FUZ327706:FVE327707 GEV327706:GFA327707 GOR327706:GOW327707 GYN327706:GYS327707 HIJ327706:HIO327707 HSF327706:HSK327707 ICB327706:ICG327707 ILX327706:IMC327707 IVT327706:IVY327707 JFP327706:JFU327707 JPL327706:JPQ327707 JZH327706:JZM327707 KJD327706:KJI327707 KSZ327706:KTE327707 LCV327706:LDA327707 LMR327706:LMW327707 LWN327706:LWS327707 MGJ327706:MGO327707 MQF327706:MQK327707 NAB327706:NAG327707 NJX327706:NKC327707 NTT327706:NTY327707 ODP327706:ODU327707 ONL327706:ONQ327707 OXH327706:OXM327707 PHD327706:PHI327707 PQZ327706:PRE327707 QAV327706:QBA327707 QKR327706:QKW327707 QUN327706:QUS327707 REJ327706:REO327707 ROF327706:ROK327707 RYB327706:RYG327707 SHX327706:SIC327707 SRT327706:SRY327707 TBP327706:TBU327707 TLL327706:TLQ327707 TVH327706:TVM327707 UFD327706:UFI327707 UOZ327706:UPE327707 UYV327706:UZA327707 VIR327706:VIW327707 VSN327706:VSS327707 WCJ327706:WCO327707 WMF327706:WMK327707 WWB327706:WWG327707 T393242:Y393243 JP393242:JU393243 TL393242:TQ393243 ADH393242:ADM393243 AND393242:ANI393243 AWZ393242:AXE393243 BGV393242:BHA393243 BQR393242:BQW393243 CAN393242:CAS393243 CKJ393242:CKO393243 CUF393242:CUK393243 DEB393242:DEG393243 DNX393242:DOC393243 DXT393242:DXY393243 EHP393242:EHU393243 ERL393242:ERQ393243 FBH393242:FBM393243 FLD393242:FLI393243 FUZ393242:FVE393243 GEV393242:GFA393243 GOR393242:GOW393243 GYN393242:GYS393243 HIJ393242:HIO393243 HSF393242:HSK393243 ICB393242:ICG393243 ILX393242:IMC393243 IVT393242:IVY393243 JFP393242:JFU393243 JPL393242:JPQ393243 JZH393242:JZM393243 KJD393242:KJI393243 KSZ393242:KTE393243 LCV393242:LDA393243 LMR393242:LMW393243 LWN393242:LWS393243 MGJ393242:MGO393243 MQF393242:MQK393243 NAB393242:NAG393243 NJX393242:NKC393243 NTT393242:NTY393243 ODP393242:ODU393243 ONL393242:ONQ393243 OXH393242:OXM393243 PHD393242:PHI393243 PQZ393242:PRE393243 QAV393242:QBA393243 QKR393242:QKW393243 QUN393242:QUS393243 REJ393242:REO393243 ROF393242:ROK393243 RYB393242:RYG393243 SHX393242:SIC393243 SRT393242:SRY393243 TBP393242:TBU393243 TLL393242:TLQ393243 TVH393242:TVM393243 UFD393242:UFI393243 UOZ393242:UPE393243 UYV393242:UZA393243 VIR393242:VIW393243 VSN393242:VSS393243 WCJ393242:WCO393243 WMF393242:WMK393243 WWB393242:WWG393243 T458778:Y458779 JP458778:JU458779 TL458778:TQ458779 ADH458778:ADM458779 AND458778:ANI458779 AWZ458778:AXE458779 BGV458778:BHA458779 BQR458778:BQW458779 CAN458778:CAS458779 CKJ458778:CKO458779 CUF458778:CUK458779 DEB458778:DEG458779 DNX458778:DOC458779 DXT458778:DXY458779 EHP458778:EHU458779 ERL458778:ERQ458779 FBH458778:FBM458779 FLD458778:FLI458779 FUZ458778:FVE458779 GEV458778:GFA458779 GOR458778:GOW458779 GYN458778:GYS458779 HIJ458778:HIO458779 HSF458778:HSK458779 ICB458778:ICG458779 ILX458778:IMC458779 IVT458778:IVY458779 JFP458778:JFU458779 JPL458778:JPQ458779 JZH458778:JZM458779 KJD458778:KJI458779 KSZ458778:KTE458779 LCV458778:LDA458779 LMR458778:LMW458779 LWN458778:LWS458779 MGJ458778:MGO458779 MQF458778:MQK458779 NAB458778:NAG458779 NJX458778:NKC458779 NTT458778:NTY458779 ODP458778:ODU458779 ONL458778:ONQ458779 OXH458778:OXM458779 PHD458778:PHI458779 PQZ458778:PRE458779 QAV458778:QBA458779 QKR458778:QKW458779 QUN458778:QUS458779 REJ458778:REO458779 ROF458778:ROK458779 RYB458778:RYG458779 SHX458778:SIC458779 SRT458778:SRY458779 TBP458778:TBU458779 TLL458778:TLQ458779 TVH458778:TVM458779 UFD458778:UFI458779 UOZ458778:UPE458779 UYV458778:UZA458779 VIR458778:VIW458779 VSN458778:VSS458779 WCJ458778:WCO458779 WMF458778:WMK458779 WWB458778:WWG458779 T524314:Y524315 JP524314:JU524315 TL524314:TQ524315 ADH524314:ADM524315 AND524314:ANI524315 AWZ524314:AXE524315 BGV524314:BHA524315 BQR524314:BQW524315 CAN524314:CAS524315 CKJ524314:CKO524315 CUF524314:CUK524315 DEB524314:DEG524315 DNX524314:DOC524315 DXT524314:DXY524315 EHP524314:EHU524315 ERL524314:ERQ524315 FBH524314:FBM524315 FLD524314:FLI524315 FUZ524314:FVE524315 GEV524314:GFA524315 GOR524314:GOW524315 GYN524314:GYS524315 HIJ524314:HIO524315 HSF524314:HSK524315 ICB524314:ICG524315 ILX524314:IMC524315 IVT524314:IVY524315 JFP524314:JFU524315 JPL524314:JPQ524315 JZH524314:JZM524315 KJD524314:KJI524315 KSZ524314:KTE524315 LCV524314:LDA524315 LMR524314:LMW524315 LWN524314:LWS524315 MGJ524314:MGO524315 MQF524314:MQK524315 NAB524314:NAG524315 NJX524314:NKC524315 NTT524314:NTY524315 ODP524314:ODU524315 ONL524314:ONQ524315 OXH524314:OXM524315 PHD524314:PHI524315 PQZ524314:PRE524315 QAV524314:QBA524315 QKR524314:QKW524315 QUN524314:QUS524315 REJ524314:REO524315 ROF524314:ROK524315 RYB524314:RYG524315 SHX524314:SIC524315 SRT524314:SRY524315 TBP524314:TBU524315 TLL524314:TLQ524315 TVH524314:TVM524315 UFD524314:UFI524315 UOZ524314:UPE524315 UYV524314:UZA524315 VIR524314:VIW524315 VSN524314:VSS524315 WCJ524314:WCO524315 WMF524314:WMK524315 WWB524314:WWG524315 T589850:Y589851 JP589850:JU589851 TL589850:TQ589851 ADH589850:ADM589851 AND589850:ANI589851 AWZ589850:AXE589851 BGV589850:BHA589851 BQR589850:BQW589851 CAN589850:CAS589851 CKJ589850:CKO589851 CUF589850:CUK589851 DEB589850:DEG589851 DNX589850:DOC589851 DXT589850:DXY589851 EHP589850:EHU589851 ERL589850:ERQ589851 FBH589850:FBM589851 FLD589850:FLI589851 FUZ589850:FVE589851 GEV589850:GFA589851 GOR589850:GOW589851 GYN589850:GYS589851 HIJ589850:HIO589851 HSF589850:HSK589851 ICB589850:ICG589851 ILX589850:IMC589851 IVT589850:IVY589851 JFP589850:JFU589851 JPL589850:JPQ589851 JZH589850:JZM589851 KJD589850:KJI589851 KSZ589850:KTE589851 LCV589850:LDA589851 LMR589850:LMW589851 LWN589850:LWS589851 MGJ589850:MGO589851 MQF589850:MQK589851 NAB589850:NAG589851 NJX589850:NKC589851 NTT589850:NTY589851 ODP589850:ODU589851 ONL589850:ONQ589851 OXH589850:OXM589851 PHD589850:PHI589851 PQZ589850:PRE589851 QAV589850:QBA589851 QKR589850:QKW589851 QUN589850:QUS589851 REJ589850:REO589851 ROF589850:ROK589851 RYB589850:RYG589851 SHX589850:SIC589851 SRT589850:SRY589851 TBP589850:TBU589851 TLL589850:TLQ589851 TVH589850:TVM589851 UFD589850:UFI589851 UOZ589850:UPE589851 UYV589850:UZA589851 VIR589850:VIW589851 VSN589850:VSS589851 WCJ589850:WCO589851 WMF589850:WMK589851 WWB589850:WWG589851 T655386:Y655387 JP655386:JU655387 TL655386:TQ655387 ADH655386:ADM655387 AND655386:ANI655387 AWZ655386:AXE655387 BGV655386:BHA655387 BQR655386:BQW655387 CAN655386:CAS655387 CKJ655386:CKO655387 CUF655386:CUK655387 DEB655386:DEG655387 DNX655386:DOC655387 DXT655386:DXY655387 EHP655386:EHU655387 ERL655386:ERQ655387 FBH655386:FBM655387 FLD655386:FLI655387 FUZ655386:FVE655387 GEV655386:GFA655387 GOR655386:GOW655387 GYN655386:GYS655387 HIJ655386:HIO655387 HSF655386:HSK655387 ICB655386:ICG655387 ILX655386:IMC655387 IVT655386:IVY655387 JFP655386:JFU655387 JPL655386:JPQ655387 JZH655386:JZM655387 KJD655386:KJI655387 KSZ655386:KTE655387 LCV655386:LDA655387 LMR655386:LMW655387 LWN655386:LWS655387 MGJ655386:MGO655387 MQF655386:MQK655387 NAB655386:NAG655387 NJX655386:NKC655387 NTT655386:NTY655387 ODP655386:ODU655387 ONL655386:ONQ655387 OXH655386:OXM655387 PHD655386:PHI655387 PQZ655386:PRE655387 QAV655386:QBA655387 QKR655386:QKW655387 QUN655386:QUS655387 REJ655386:REO655387 ROF655386:ROK655387 RYB655386:RYG655387 SHX655386:SIC655387 SRT655386:SRY655387 TBP655386:TBU655387 TLL655386:TLQ655387 TVH655386:TVM655387 UFD655386:UFI655387 UOZ655386:UPE655387 UYV655386:UZA655387 VIR655386:VIW655387 VSN655386:VSS655387 WCJ655386:WCO655387 WMF655386:WMK655387 WWB655386:WWG655387 T720922:Y720923 JP720922:JU720923 TL720922:TQ720923 ADH720922:ADM720923 AND720922:ANI720923 AWZ720922:AXE720923 BGV720922:BHA720923 BQR720922:BQW720923 CAN720922:CAS720923 CKJ720922:CKO720923 CUF720922:CUK720923 DEB720922:DEG720923 DNX720922:DOC720923 DXT720922:DXY720923 EHP720922:EHU720923 ERL720922:ERQ720923 FBH720922:FBM720923 FLD720922:FLI720923 FUZ720922:FVE720923 GEV720922:GFA720923 GOR720922:GOW720923 GYN720922:GYS720923 HIJ720922:HIO720923 HSF720922:HSK720923 ICB720922:ICG720923 ILX720922:IMC720923 IVT720922:IVY720923 JFP720922:JFU720923 JPL720922:JPQ720923 JZH720922:JZM720923 KJD720922:KJI720923 KSZ720922:KTE720923 LCV720922:LDA720923 LMR720922:LMW720923 LWN720922:LWS720923 MGJ720922:MGO720923 MQF720922:MQK720923 NAB720922:NAG720923 NJX720922:NKC720923 NTT720922:NTY720923 ODP720922:ODU720923 ONL720922:ONQ720923 OXH720922:OXM720923 PHD720922:PHI720923 PQZ720922:PRE720923 QAV720922:QBA720923 QKR720922:QKW720923 QUN720922:QUS720923 REJ720922:REO720923 ROF720922:ROK720923 RYB720922:RYG720923 SHX720922:SIC720923 SRT720922:SRY720923 TBP720922:TBU720923 TLL720922:TLQ720923 TVH720922:TVM720923 UFD720922:UFI720923 UOZ720922:UPE720923 UYV720922:UZA720923 VIR720922:VIW720923 VSN720922:VSS720923 WCJ720922:WCO720923 WMF720922:WMK720923 WWB720922:WWG720923 T786458:Y786459 JP786458:JU786459 TL786458:TQ786459 ADH786458:ADM786459 AND786458:ANI786459 AWZ786458:AXE786459 BGV786458:BHA786459 BQR786458:BQW786459 CAN786458:CAS786459 CKJ786458:CKO786459 CUF786458:CUK786459 DEB786458:DEG786459 DNX786458:DOC786459 DXT786458:DXY786459 EHP786458:EHU786459 ERL786458:ERQ786459 FBH786458:FBM786459 FLD786458:FLI786459 FUZ786458:FVE786459 GEV786458:GFA786459 GOR786458:GOW786459 GYN786458:GYS786459 HIJ786458:HIO786459 HSF786458:HSK786459 ICB786458:ICG786459 ILX786458:IMC786459 IVT786458:IVY786459 JFP786458:JFU786459 JPL786458:JPQ786459 JZH786458:JZM786459 KJD786458:KJI786459 KSZ786458:KTE786459 LCV786458:LDA786459 LMR786458:LMW786459 LWN786458:LWS786459 MGJ786458:MGO786459 MQF786458:MQK786459 NAB786458:NAG786459 NJX786458:NKC786459 NTT786458:NTY786459 ODP786458:ODU786459 ONL786458:ONQ786459 OXH786458:OXM786459 PHD786458:PHI786459 PQZ786458:PRE786459 QAV786458:QBA786459 QKR786458:QKW786459 QUN786458:QUS786459 REJ786458:REO786459 ROF786458:ROK786459 RYB786458:RYG786459 SHX786458:SIC786459 SRT786458:SRY786459 TBP786458:TBU786459 TLL786458:TLQ786459 TVH786458:TVM786459 UFD786458:UFI786459 UOZ786458:UPE786459 UYV786458:UZA786459 VIR786458:VIW786459 VSN786458:VSS786459 WCJ786458:WCO786459 WMF786458:WMK786459 WWB786458:WWG786459 T851994:Y851995 JP851994:JU851995 TL851994:TQ851995 ADH851994:ADM851995 AND851994:ANI851995 AWZ851994:AXE851995 BGV851994:BHA851995 BQR851994:BQW851995 CAN851994:CAS851995 CKJ851994:CKO851995 CUF851994:CUK851995 DEB851994:DEG851995 DNX851994:DOC851995 DXT851994:DXY851995 EHP851994:EHU851995 ERL851994:ERQ851995 FBH851994:FBM851995 FLD851994:FLI851995 FUZ851994:FVE851995 GEV851994:GFA851995 GOR851994:GOW851995 GYN851994:GYS851995 HIJ851994:HIO851995 HSF851994:HSK851995 ICB851994:ICG851995 ILX851994:IMC851995 IVT851994:IVY851995 JFP851994:JFU851995 JPL851994:JPQ851995 JZH851994:JZM851995 KJD851994:KJI851995 KSZ851994:KTE851995 LCV851994:LDA851995 LMR851994:LMW851995 LWN851994:LWS851995 MGJ851994:MGO851995 MQF851994:MQK851995 NAB851994:NAG851995 NJX851994:NKC851995 NTT851994:NTY851995 ODP851994:ODU851995 ONL851994:ONQ851995 OXH851994:OXM851995 PHD851994:PHI851995 PQZ851994:PRE851995 QAV851994:QBA851995 QKR851994:QKW851995 QUN851994:QUS851995 REJ851994:REO851995 ROF851994:ROK851995 RYB851994:RYG851995 SHX851994:SIC851995 SRT851994:SRY851995 TBP851994:TBU851995 TLL851994:TLQ851995 TVH851994:TVM851995 UFD851994:UFI851995 UOZ851994:UPE851995 UYV851994:UZA851995 VIR851994:VIW851995 VSN851994:VSS851995 WCJ851994:WCO851995 WMF851994:WMK851995 WWB851994:WWG851995 T917530:Y917531 JP917530:JU917531 TL917530:TQ917531 ADH917530:ADM917531 AND917530:ANI917531 AWZ917530:AXE917531 BGV917530:BHA917531 BQR917530:BQW917531 CAN917530:CAS917531 CKJ917530:CKO917531 CUF917530:CUK917531 DEB917530:DEG917531 DNX917530:DOC917531 DXT917530:DXY917531 EHP917530:EHU917531 ERL917530:ERQ917531 FBH917530:FBM917531 FLD917530:FLI917531 FUZ917530:FVE917531 GEV917530:GFA917531 GOR917530:GOW917531 GYN917530:GYS917531 HIJ917530:HIO917531 HSF917530:HSK917531 ICB917530:ICG917531 ILX917530:IMC917531 IVT917530:IVY917531 JFP917530:JFU917531 JPL917530:JPQ917531 JZH917530:JZM917531 KJD917530:KJI917531 KSZ917530:KTE917531 LCV917530:LDA917531 LMR917530:LMW917531 LWN917530:LWS917531 MGJ917530:MGO917531 MQF917530:MQK917531 NAB917530:NAG917531 NJX917530:NKC917531 NTT917530:NTY917531 ODP917530:ODU917531 ONL917530:ONQ917531 OXH917530:OXM917531 PHD917530:PHI917531 PQZ917530:PRE917531 QAV917530:QBA917531 QKR917530:QKW917531 QUN917530:QUS917531 REJ917530:REO917531 ROF917530:ROK917531 RYB917530:RYG917531 SHX917530:SIC917531 SRT917530:SRY917531 TBP917530:TBU917531 TLL917530:TLQ917531 TVH917530:TVM917531 UFD917530:UFI917531 UOZ917530:UPE917531 UYV917530:UZA917531 VIR917530:VIW917531 VSN917530:VSS917531 WCJ917530:WCO917531 WMF917530:WMK917531 WWB917530:WWG917531 T983066:Y983067 JP983066:JU983067 TL983066:TQ983067 ADH983066:ADM983067 AND983066:ANI983067 AWZ983066:AXE983067 BGV983066:BHA983067 BQR983066:BQW983067 CAN983066:CAS983067 CKJ983066:CKO983067 CUF983066:CUK983067 DEB983066:DEG983067 DNX983066:DOC983067 DXT983066:DXY983067 EHP983066:EHU983067 ERL983066:ERQ983067 FBH983066:FBM983067 FLD983066:FLI983067 FUZ983066:FVE983067 GEV983066:GFA983067 GOR983066:GOW983067 GYN983066:GYS983067 HIJ983066:HIO983067 HSF983066:HSK983067 ICB983066:ICG983067 ILX983066:IMC983067 IVT983066:IVY983067 JFP983066:JFU983067 JPL983066:JPQ983067 JZH983066:JZM983067 KJD983066:KJI983067 KSZ983066:KTE983067 LCV983066:LDA983067 LMR983066:LMW983067 LWN983066:LWS983067 MGJ983066:MGO983067 MQF983066:MQK983067 NAB983066:NAG983067 NJX983066:NKC983067 NTT983066:NTY983067 ODP983066:ODU983067 ONL983066:ONQ983067 OXH983066:OXM983067 PHD983066:PHI983067 PQZ983066:PRE983067 QAV983066:QBA983067 QKR983066:QKW983067 QUN983066:QUS983067 REJ983066:REO983067 ROF983066:ROK983067 RYB983066:RYG983067 SHX983066:SIC983067 SRT983066:SRY983067 TBP983066:TBU983067 TLL983066:TLQ983067 TVH983066:TVM983067 UFD983066:UFI983067 UOZ983066:UPE983067 UYV983066:UZA983067 VIR983066:VIW983067 VSN983066:VSS983067 WCJ983066:WCO983067 WMF983066:WMK983067 WWB983066:WWG983067 A19:A27 IW19:IW27 SS19:SS27 ACO19:ACO27 AMK19:AMK27 AWG19:AWG27 BGC19:BGC27 BPY19:BPY27 BZU19:BZU27 CJQ19:CJQ27 CTM19:CTM27 DDI19:DDI27 DNE19:DNE27 DXA19:DXA27 EGW19:EGW27 EQS19:EQS27 FAO19:FAO27 FKK19:FKK27 FUG19:FUG27 GEC19:GEC27 GNY19:GNY27 GXU19:GXU27 HHQ19:HHQ27 HRM19:HRM27 IBI19:IBI27 ILE19:ILE27 IVA19:IVA27 JEW19:JEW27 JOS19:JOS27 JYO19:JYO27 KIK19:KIK27 KSG19:KSG27 LCC19:LCC27 LLY19:LLY27 LVU19:LVU27 MFQ19:MFQ27 MPM19:MPM27 MZI19:MZI27 NJE19:NJE27 NTA19:NTA27 OCW19:OCW27 OMS19:OMS27 OWO19:OWO27 PGK19:PGK27 PQG19:PQG27 QAC19:QAC27 QJY19:QJY27 QTU19:QTU27 RDQ19:RDQ27 RNM19:RNM27 RXI19:RXI27 SHE19:SHE27 SRA19:SRA27 TAW19:TAW27 TKS19:TKS27 TUO19:TUO27 UEK19:UEK27 UOG19:UOG27 UYC19:UYC27 VHY19:VHY27 VRU19:VRU27 WBQ19:WBQ27 WLM19:WLM27 WVI19:WVI27 A65555:A65563 IW65555:IW65563 SS65555:SS65563 ACO65555:ACO65563 AMK65555:AMK65563 AWG65555:AWG65563 BGC65555:BGC65563 BPY65555:BPY65563 BZU65555:BZU65563 CJQ65555:CJQ65563 CTM65555:CTM65563 DDI65555:DDI65563 DNE65555:DNE65563 DXA65555:DXA65563 EGW65555:EGW65563 EQS65555:EQS65563 FAO65555:FAO65563 FKK65555:FKK65563 FUG65555:FUG65563 GEC65555:GEC65563 GNY65555:GNY65563 GXU65555:GXU65563 HHQ65555:HHQ65563 HRM65555:HRM65563 IBI65555:IBI65563 ILE65555:ILE65563 IVA65555:IVA65563 JEW65555:JEW65563 JOS65555:JOS65563 JYO65555:JYO65563 KIK65555:KIK65563 KSG65555:KSG65563 LCC65555:LCC65563 LLY65555:LLY65563 LVU65555:LVU65563 MFQ65555:MFQ65563 MPM65555:MPM65563 MZI65555:MZI65563 NJE65555:NJE65563 NTA65555:NTA65563 OCW65555:OCW65563 OMS65555:OMS65563 OWO65555:OWO65563 PGK65555:PGK65563 PQG65555:PQG65563 QAC65555:QAC65563 QJY65555:QJY65563 QTU65555:QTU65563 RDQ65555:RDQ65563 RNM65555:RNM65563 RXI65555:RXI65563 SHE65555:SHE65563 SRA65555:SRA65563 TAW65555:TAW65563 TKS65555:TKS65563 TUO65555:TUO65563 UEK65555:UEK65563 UOG65555:UOG65563 UYC65555:UYC65563 VHY65555:VHY65563 VRU65555:VRU65563 WBQ65555:WBQ65563 WLM65555:WLM65563 WVI65555:WVI65563 A131091:A131099 IW131091:IW131099 SS131091:SS131099 ACO131091:ACO131099 AMK131091:AMK131099 AWG131091:AWG131099 BGC131091:BGC131099 BPY131091:BPY131099 BZU131091:BZU131099 CJQ131091:CJQ131099 CTM131091:CTM131099 DDI131091:DDI131099 DNE131091:DNE131099 DXA131091:DXA131099 EGW131091:EGW131099 EQS131091:EQS131099 FAO131091:FAO131099 FKK131091:FKK131099 FUG131091:FUG131099 GEC131091:GEC131099 GNY131091:GNY131099 GXU131091:GXU131099 HHQ131091:HHQ131099 HRM131091:HRM131099 IBI131091:IBI131099 ILE131091:ILE131099 IVA131091:IVA131099 JEW131091:JEW131099 JOS131091:JOS131099 JYO131091:JYO131099 KIK131091:KIK131099 KSG131091:KSG131099 LCC131091:LCC131099 LLY131091:LLY131099 LVU131091:LVU131099 MFQ131091:MFQ131099 MPM131091:MPM131099 MZI131091:MZI131099 NJE131091:NJE131099 NTA131091:NTA131099 OCW131091:OCW131099 OMS131091:OMS131099 OWO131091:OWO131099 PGK131091:PGK131099 PQG131091:PQG131099 QAC131091:QAC131099 QJY131091:QJY131099 QTU131091:QTU131099 RDQ131091:RDQ131099 RNM131091:RNM131099 RXI131091:RXI131099 SHE131091:SHE131099 SRA131091:SRA131099 TAW131091:TAW131099 TKS131091:TKS131099 TUO131091:TUO131099 UEK131091:UEK131099 UOG131091:UOG131099 UYC131091:UYC131099 VHY131091:VHY131099 VRU131091:VRU131099 WBQ131091:WBQ131099 WLM131091:WLM131099 WVI131091:WVI131099 A196627:A196635 IW196627:IW196635 SS196627:SS196635 ACO196627:ACO196635 AMK196627:AMK196635 AWG196627:AWG196635 BGC196627:BGC196635 BPY196627:BPY196635 BZU196627:BZU196635 CJQ196627:CJQ196635 CTM196627:CTM196635 DDI196627:DDI196635 DNE196627:DNE196635 DXA196627:DXA196635 EGW196627:EGW196635 EQS196627:EQS196635 FAO196627:FAO196635 FKK196627:FKK196635 FUG196627:FUG196635 GEC196627:GEC196635 GNY196627:GNY196635 GXU196627:GXU196635 HHQ196627:HHQ196635 HRM196627:HRM196635 IBI196627:IBI196635 ILE196627:ILE196635 IVA196627:IVA196635 JEW196627:JEW196635 JOS196627:JOS196635 JYO196627:JYO196635 KIK196627:KIK196635 KSG196627:KSG196635 LCC196627:LCC196635 LLY196627:LLY196635 LVU196627:LVU196635 MFQ196627:MFQ196635 MPM196627:MPM196635 MZI196627:MZI196635 NJE196627:NJE196635 NTA196627:NTA196635 OCW196627:OCW196635 OMS196627:OMS196635 OWO196627:OWO196635 PGK196627:PGK196635 PQG196627:PQG196635 QAC196627:QAC196635 QJY196627:QJY196635 QTU196627:QTU196635 RDQ196627:RDQ196635 RNM196627:RNM196635 RXI196627:RXI196635 SHE196627:SHE196635 SRA196627:SRA196635 TAW196627:TAW196635 TKS196627:TKS196635 TUO196627:TUO196635 UEK196627:UEK196635 UOG196627:UOG196635 UYC196627:UYC196635 VHY196627:VHY196635 VRU196627:VRU196635 WBQ196627:WBQ196635 WLM196627:WLM196635 WVI196627:WVI196635 A262163:A262171 IW262163:IW262171 SS262163:SS262171 ACO262163:ACO262171 AMK262163:AMK262171 AWG262163:AWG262171 BGC262163:BGC262171 BPY262163:BPY262171 BZU262163:BZU262171 CJQ262163:CJQ262171 CTM262163:CTM262171 DDI262163:DDI262171 DNE262163:DNE262171 DXA262163:DXA262171 EGW262163:EGW262171 EQS262163:EQS262171 FAO262163:FAO262171 FKK262163:FKK262171 FUG262163:FUG262171 GEC262163:GEC262171 GNY262163:GNY262171 GXU262163:GXU262171 HHQ262163:HHQ262171 HRM262163:HRM262171 IBI262163:IBI262171 ILE262163:ILE262171 IVA262163:IVA262171 JEW262163:JEW262171 JOS262163:JOS262171 JYO262163:JYO262171 KIK262163:KIK262171 KSG262163:KSG262171 LCC262163:LCC262171 LLY262163:LLY262171 LVU262163:LVU262171 MFQ262163:MFQ262171 MPM262163:MPM262171 MZI262163:MZI262171 NJE262163:NJE262171 NTA262163:NTA262171 OCW262163:OCW262171 OMS262163:OMS262171 OWO262163:OWO262171 PGK262163:PGK262171 PQG262163:PQG262171 QAC262163:QAC262171 QJY262163:QJY262171 QTU262163:QTU262171 RDQ262163:RDQ262171 RNM262163:RNM262171 RXI262163:RXI262171 SHE262163:SHE262171 SRA262163:SRA262171 TAW262163:TAW262171 TKS262163:TKS262171 TUO262163:TUO262171 UEK262163:UEK262171 UOG262163:UOG262171 UYC262163:UYC262171 VHY262163:VHY262171 VRU262163:VRU262171 WBQ262163:WBQ262171 WLM262163:WLM262171 WVI262163:WVI262171 A327699:A327707 IW327699:IW327707 SS327699:SS327707 ACO327699:ACO327707 AMK327699:AMK327707 AWG327699:AWG327707 BGC327699:BGC327707 BPY327699:BPY327707 BZU327699:BZU327707 CJQ327699:CJQ327707 CTM327699:CTM327707 DDI327699:DDI327707 DNE327699:DNE327707 DXA327699:DXA327707 EGW327699:EGW327707 EQS327699:EQS327707 FAO327699:FAO327707 FKK327699:FKK327707 FUG327699:FUG327707 GEC327699:GEC327707 GNY327699:GNY327707 GXU327699:GXU327707 HHQ327699:HHQ327707 HRM327699:HRM327707 IBI327699:IBI327707 ILE327699:ILE327707 IVA327699:IVA327707 JEW327699:JEW327707 JOS327699:JOS327707 JYO327699:JYO327707 KIK327699:KIK327707 KSG327699:KSG327707 LCC327699:LCC327707 LLY327699:LLY327707 LVU327699:LVU327707 MFQ327699:MFQ327707 MPM327699:MPM327707 MZI327699:MZI327707 NJE327699:NJE327707 NTA327699:NTA327707 OCW327699:OCW327707 OMS327699:OMS327707 OWO327699:OWO327707 PGK327699:PGK327707 PQG327699:PQG327707 QAC327699:QAC327707 QJY327699:QJY327707 QTU327699:QTU327707 RDQ327699:RDQ327707 RNM327699:RNM327707 RXI327699:RXI327707 SHE327699:SHE327707 SRA327699:SRA327707 TAW327699:TAW327707 TKS327699:TKS327707 TUO327699:TUO327707 UEK327699:UEK327707 UOG327699:UOG327707 UYC327699:UYC327707 VHY327699:VHY327707 VRU327699:VRU327707 WBQ327699:WBQ327707 WLM327699:WLM327707 WVI327699:WVI327707 A393235:A393243 IW393235:IW393243 SS393235:SS393243 ACO393235:ACO393243 AMK393235:AMK393243 AWG393235:AWG393243 BGC393235:BGC393243 BPY393235:BPY393243 BZU393235:BZU393243 CJQ393235:CJQ393243 CTM393235:CTM393243 DDI393235:DDI393243 DNE393235:DNE393243 DXA393235:DXA393243 EGW393235:EGW393243 EQS393235:EQS393243 FAO393235:FAO393243 FKK393235:FKK393243 FUG393235:FUG393243 GEC393235:GEC393243 GNY393235:GNY393243 GXU393235:GXU393243 HHQ393235:HHQ393243 HRM393235:HRM393243 IBI393235:IBI393243 ILE393235:ILE393243 IVA393235:IVA393243 JEW393235:JEW393243 JOS393235:JOS393243 JYO393235:JYO393243 KIK393235:KIK393243 KSG393235:KSG393243 LCC393235:LCC393243 LLY393235:LLY393243 LVU393235:LVU393243 MFQ393235:MFQ393243 MPM393235:MPM393243 MZI393235:MZI393243 NJE393235:NJE393243 NTA393235:NTA393243 OCW393235:OCW393243 OMS393235:OMS393243 OWO393235:OWO393243 PGK393235:PGK393243 PQG393235:PQG393243 QAC393235:QAC393243 QJY393235:QJY393243 QTU393235:QTU393243 RDQ393235:RDQ393243 RNM393235:RNM393243 RXI393235:RXI393243 SHE393235:SHE393243 SRA393235:SRA393243 TAW393235:TAW393243 TKS393235:TKS393243 TUO393235:TUO393243 UEK393235:UEK393243 UOG393235:UOG393243 UYC393235:UYC393243 VHY393235:VHY393243 VRU393235:VRU393243 WBQ393235:WBQ393243 WLM393235:WLM393243 WVI393235:WVI393243 A458771:A458779 IW458771:IW458779 SS458771:SS458779 ACO458771:ACO458779 AMK458771:AMK458779 AWG458771:AWG458779 BGC458771:BGC458779 BPY458771:BPY458779 BZU458771:BZU458779 CJQ458771:CJQ458779 CTM458771:CTM458779 DDI458771:DDI458779 DNE458771:DNE458779 DXA458771:DXA458779 EGW458771:EGW458779 EQS458771:EQS458779 FAO458771:FAO458779 FKK458771:FKK458779 FUG458771:FUG458779 GEC458771:GEC458779 GNY458771:GNY458779 GXU458771:GXU458779 HHQ458771:HHQ458779 HRM458771:HRM458779 IBI458771:IBI458779 ILE458771:ILE458779 IVA458771:IVA458779 JEW458771:JEW458779 JOS458771:JOS458779 JYO458771:JYO458779 KIK458771:KIK458779 KSG458771:KSG458779 LCC458771:LCC458779 LLY458771:LLY458779 LVU458771:LVU458779 MFQ458771:MFQ458779 MPM458771:MPM458779 MZI458771:MZI458779 NJE458771:NJE458779 NTA458771:NTA458779 OCW458771:OCW458779 OMS458771:OMS458779 OWO458771:OWO458779 PGK458771:PGK458779 PQG458771:PQG458779 QAC458771:QAC458779 QJY458771:QJY458779 QTU458771:QTU458779 RDQ458771:RDQ458779 RNM458771:RNM458779 RXI458771:RXI458779 SHE458771:SHE458779 SRA458771:SRA458779 TAW458771:TAW458779 TKS458771:TKS458779 TUO458771:TUO458779 UEK458771:UEK458779 UOG458771:UOG458779 UYC458771:UYC458779 VHY458771:VHY458779 VRU458771:VRU458779 WBQ458771:WBQ458779 WLM458771:WLM458779 WVI458771:WVI458779 A524307:A524315 IW524307:IW524315 SS524307:SS524315 ACO524307:ACO524315 AMK524307:AMK524315 AWG524307:AWG524315 BGC524307:BGC524315 BPY524307:BPY524315 BZU524307:BZU524315 CJQ524307:CJQ524315 CTM524307:CTM524315 DDI524307:DDI524315 DNE524307:DNE524315 DXA524307:DXA524315 EGW524307:EGW524315 EQS524307:EQS524315 FAO524307:FAO524315 FKK524307:FKK524315 FUG524307:FUG524315 GEC524307:GEC524315 GNY524307:GNY524315 GXU524307:GXU524315 HHQ524307:HHQ524315 HRM524307:HRM524315 IBI524307:IBI524315 ILE524307:ILE524315 IVA524307:IVA524315 JEW524307:JEW524315 JOS524307:JOS524315 JYO524307:JYO524315 KIK524307:KIK524315 KSG524307:KSG524315 LCC524307:LCC524315 LLY524307:LLY524315 LVU524307:LVU524315 MFQ524307:MFQ524315 MPM524307:MPM524315 MZI524307:MZI524315 NJE524307:NJE524315 NTA524307:NTA524315 OCW524307:OCW524315 OMS524307:OMS524315 OWO524307:OWO524315 PGK524307:PGK524315 PQG524307:PQG524315 QAC524307:QAC524315 QJY524307:QJY524315 QTU524307:QTU524315 RDQ524307:RDQ524315 RNM524307:RNM524315 RXI524307:RXI524315 SHE524307:SHE524315 SRA524307:SRA524315 TAW524307:TAW524315 TKS524307:TKS524315 TUO524307:TUO524315 UEK524307:UEK524315 UOG524307:UOG524315 UYC524307:UYC524315 VHY524307:VHY524315 VRU524307:VRU524315 WBQ524307:WBQ524315 WLM524307:WLM524315 WVI524307:WVI524315 A589843:A589851 IW589843:IW589851 SS589843:SS589851 ACO589843:ACO589851 AMK589843:AMK589851 AWG589843:AWG589851 BGC589843:BGC589851 BPY589843:BPY589851 BZU589843:BZU589851 CJQ589843:CJQ589851 CTM589843:CTM589851 DDI589843:DDI589851 DNE589843:DNE589851 DXA589843:DXA589851 EGW589843:EGW589851 EQS589843:EQS589851 FAO589843:FAO589851 FKK589843:FKK589851 FUG589843:FUG589851 GEC589843:GEC589851 GNY589843:GNY589851 GXU589843:GXU589851 HHQ589843:HHQ589851 HRM589843:HRM589851 IBI589843:IBI589851 ILE589843:ILE589851 IVA589843:IVA589851 JEW589843:JEW589851 JOS589843:JOS589851 JYO589843:JYO589851 KIK589843:KIK589851 KSG589843:KSG589851 LCC589843:LCC589851 LLY589843:LLY589851 LVU589843:LVU589851 MFQ589843:MFQ589851 MPM589843:MPM589851 MZI589843:MZI589851 NJE589843:NJE589851 NTA589843:NTA589851 OCW589843:OCW589851 OMS589843:OMS589851 OWO589843:OWO589851 PGK589843:PGK589851 PQG589843:PQG589851 QAC589843:QAC589851 QJY589843:QJY589851 QTU589843:QTU589851 RDQ589843:RDQ589851 RNM589843:RNM589851 RXI589843:RXI589851 SHE589843:SHE589851 SRA589843:SRA589851 TAW589843:TAW589851 TKS589843:TKS589851 TUO589843:TUO589851 UEK589843:UEK589851 UOG589843:UOG589851 UYC589843:UYC589851 VHY589843:VHY589851 VRU589843:VRU589851 WBQ589843:WBQ589851 WLM589843:WLM589851 WVI589843:WVI589851 A655379:A655387 IW655379:IW655387 SS655379:SS655387 ACO655379:ACO655387 AMK655379:AMK655387 AWG655379:AWG655387 BGC655379:BGC655387 BPY655379:BPY655387 BZU655379:BZU655387 CJQ655379:CJQ655387 CTM655379:CTM655387 DDI655379:DDI655387 DNE655379:DNE655387 DXA655379:DXA655387 EGW655379:EGW655387 EQS655379:EQS655387 FAO655379:FAO655387 FKK655379:FKK655387 FUG655379:FUG655387 GEC655379:GEC655387 GNY655379:GNY655387 GXU655379:GXU655387 HHQ655379:HHQ655387 HRM655379:HRM655387 IBI655379:IBI655387 ILE655379:ILE655387 IVA655379:IVA655387 JEW655379:JEW655387 JOS655379:JOS655387 JYO655379:JYO655387 KIK655379:KIK655387 KSG655379:KSG655387 LCC655379:LCC655387 LLY655379:LLY655387 LVU655379:LVU655387 MFQ655379:MFQ655387 MPM655379:MPM655387 MZI655379:MZI655387 NJE655379:NJE655387 NTA655379:NTA655387 OCW655379:OCW655387 OMS655379:OMS655387 OWO655379:OWO655387 PGK655379:PGK655387 PQG655379:PQG655387 QAC655379:QAC655387 QJY655379:QJY655387 QTU655379:QTU655387 RDQ655379:RDQ655387 RNM655379:RNM655387 RXI655379:RXI655387 SHE655379:SHE655387 SRA655379:SRA655387 TAW655379:TAW655387 TKS655379:TKS655387 TUO655379:TUO655387 UEK655379:UEK655387 UOG655379:UOG655387 UYC655379:UYC655387 VHY655379:VHY655387 VRU655379:VRU655387 WBQ655379:WBQ655387 WLM655379:WLM655387 WVI655379:WVI655387 A720915:A720923 IW720915:IW720923 SS720915:SS720923 ACO720915:ACO720923 AMK720915:AMK720923 AWG720915:AWG720923 BGC720915:BGC720923 BPY720915:BPY720923 BZU720915:BZU720923 CJQ720915:CJQ720923 CTM720915:CTM720923 DDI720915:DDI720923 DNE720915:DNE720923 DXA720915:DXA720923 EGW720915:EGW720923 EQS720915:EQS720923 FAO720915:FAO720923 FKK720915:FKK720923 FUG720915:FUG720923 GEC720915:GEC720923 GNY720915:GNY720923 GXU720915:GXU720923 HHQ720915:HHQ720923 HRM720915:HRM720923 IBI720915:IBI720923 ILE720915:ILE720923 IVA720915:IVA720923 JEW720915:JEW720923 JOS720915:JOS720923 JYO720915:JYO720923 KIK720915:KIK720923 KSG720915:KSG720923 LCC720915:LCC720923 LLY720915:LLY720923 LVU720915:LVU720923 MFQ720915:MFQ720923 MPM720915:MPM720923 MZI720915:MZI720923 NJE720915:NJE720923 NTA720915:NTA720923 OCW720915:OCW720923 OMS720915:OMS720923 OWO720915:OWO720923 PGK720915:PGK720923 PQG720915:PQG720923 QAC720915:QAC720923 QJY720915:QJY720923 QTU720915:QTU720923 RDQ720915:RDQ720923 RNM720915:RNM720923 RXI720915:RXI720923 SHE720915:SHE720923 SRA720915:SRA720923 TAW720915:TAW720923 TKS720915:TKS720923 TUO720915:TUO720923 UEK720915:UEK720923 UOG720915:UOG720923 UYC720915:UYC720923 VHY720915:VHY720923 VRU720915:VRU720923 WBQ720915:WBQ720923 WLM720915:WLM720923 WVI720915:WVI720923 A786451:A786459 IW786451:IW786459 SS786451:SS786459 ACO786451:ACO786459 AMK786451:AMK786459 AWG786451:AWG786459 BGC786451:BGC786459 BPY786451:BPY786459 BZU786451:BZU786459 CJQ786451:CJQ786459 CTM786451:CTM786459 DDI786451:DDI786459 DNE786451:DNE786459 DXA786451:DXA786459 EGW786451:EGW786459 EQS786451:EQS786459 FAO786451:FAO786459 FKK786451:FKK786459 FUG786451:FUG786459 GEC786451:GEC786459 GNY786451:GNY786459 GXU786451:GXU786459 HHQ786451:HHQ786459 HRM786451:HRM786459 IBI786451:IBI786459 ILE786451:ILE786459 IVA786451:IVA786459 JEW786451:JEW786459 JOS786451:JOS786459 JYO786451:JYO786459 KIK786451:KIK786459 KSG786451:KSG786459 LCC786451:LCC786459 LLY786451:LLY786459 LVU786451:LVU786459 MFQ786451:MFQ786459 MPM786451:MPM786459 MZI786451:MZI786459 NJE786451:NJE786459 NTA786451:NTA786459 OCW786451:OCW786459 OMS786451:OMS786459 OWO786451:OWO786459 PGK786451:PGK786459 PQG786451:PQG786459 QAC786451:QAC786459 QJY786451:QJY786459 QTU786451:QTU786459 RDQ786451:RDQ786459 RNM786451:RNM786459 RXI786451:RXI786459 SHE786451:SHE786459 SRA786451:SRA786459 TAW786451:TAW786459 TKS786451:TKS786459 TUO786451:TUO786459 UEK786451:UEK786459 UOG786451:UOG786459 UYC786451:UYC786459 VHY786451:VHY786459 VRU786451:VRU786459 WBQ786451:WBQ786459 WLM786451:WLM786459 WVI786451:WVI786459 A851987:A851995 IW851987:IW851995 SS851987:SS851995 ACO851987:ACO851995 AMK851987:AMK851995 AWG851987:AWG851995 BGC851987:BGC851995 BPY851987:BPY851995 BZU851987:BZU851995 CJQ851987:CJQ851995 CTM851987:CTM851995 DDI851987:DDI851995 DNE851987:DNE851995 DXA851987:DXA851995 EGW851987:EGW851995 EQS851987:EQS851995 FAO851987:FAO851995 FKK851987:FKK851995 FUG851987:FUG851995 GEC851987:GEC851995 GNY851987:GNY851995 GXU851987:GXU851995 HHQ851987:HHQ851995 HRM851987:HRM851995 IBI851987:IBI851995 ILE851987:ILE851995 IVA851987:IVA851995 JEW851987:JEW851995 JOS851987:JOS851995 JYO851987:JYO851995 KIK851987:KIK851995 KSG851987:KSG851995 LCC851987:LCC851995 LLY851987:LLY851995 LVU851987:LVU851995 MFQ851987:MFQ851995 MPM851987:MPM851995 MZI851987:MZI851995 NJE851987:NJE851995 NTA851987:NTA851995 OCW851987:OCW851995 OMS851987:OMS851995 OWO851987:OWO851995 PGK851987:PGK851995 PQG851987:PQG851995 QAC851987:QAC851995 QJY851987:QJY851995 QTU851987:QTU851995 RDQ851987:RDQ851995 RNM851987:RNM851995 RXI851987:RXI851995 SHE851987:SHE851995 SRA851987:SRA851995 TAW851987:TAW851995 TKS851987:TKS851995 TUO851987:TUO851995 UEK851987:UEK851995 UOG851987:UOG851995 UYC851987:UYC851995 VHY851987:VHY851995 VRU851987:VRU851995 WBQ851987:WBQ851995 WLM851987:WLM851995 WVI851987:WVI851995 A917523:A917531 IW917523:IW917531 SS917523:SS917531 ACO917523:ACO917531 AMK917523:AMK917531 AWG917523:AWG917531 BGC917523:BGC917531 BPY917523:BPY917531 BZU917523:BZU917531 CJQ917523:CJQ917531 CTM917523:CTM917531 DDI917523:DDI917531 DNE917523:DNE917531 DXA917523:DXA917531 EGW917523:EGW917531 EQS917523:EQS917531 FAO917523:FAO917531 FKK917523:FKK917531 FUG917523:FUG917531 GEC917523:GEC917531 GNY917523:GNY917531 GXU917523:GXU917531 HHQ917523:HHQ917531 HRM917523:HRM917531 IBI917523:IBI917531 ILE917523:ILE917531 IVA917523:IVA917531 JEW917523:JEW917531 JOS917523:JOS917531 JYO917523:JYO917531 KIK917523:KIK917531 KSG917523:KSG917531 LCC917523:LCC917531 LLY917523:LLY917531 LVU917523:LVU917531 MFQ917523:MFQ917531 MPM917523:MPM917531 MZI917523:MZI917531 NJE917523:NJE917531 NTA917523:NTA917531 OCW917523:OCW917531 OMS917523:OMS917531 OWO917523:OWO917531 PGK917523:PGK917531 PQG917523:PQG917531 QAC917523:QAC917531 QJY917523:QJY917531 QTU917523:QTU917531 RDQ917523:RDQ917531 RNM917523:RNM917531 RXI917523:RXI917531 SHE917523:SHE917531 SRA917523:SRA917531 TAW917523:TAW917531 TKS917523:TKS917531 TUO917523:TUO917531 UEK917523:UEK917531 UOG917523:UOG917531 UYC917523:UYC917531 VHY917523:VHY917531 VRU917523:VRU917531 WBQ917523:WBQ917531 WLM917523:WLM917531 WVI917523:WVI917531 A983059:A983067 IW983059:IW983067 SS983059:SS983067 ACO983059:ACO983067 AMK983059:AMK983067 AWG983059:AWG983067 BGC983059:BGC983067 BPY983059:BPY983067 BZU983059:BZU983067 CJQ983059:CJQ983067 CTM983059:CTM983067 DDI983059:DDI983067 DNE983059:DNE983067 DXA983059:DXA983067 EGW983059:EGW983067 EQS983059:EQS983067 FAO983059:FAO983067 FKK983059:FKK983067 FUG983059:FUG983067 GEC983059:GEC983067 GNY983059:GNY983067 GXU983059:GXU983067 HHQ983059:HHQ983067 HRM983059:HRM983067 IBI983059:IBI983067 ILE983059:ILE983067 IVA983059:IVA983067 JEW983059:JEW983067 JOS983059:JOS983067 JYO983059:JYO983067 KIK983059:KIK983067 KSG983059:KSG983067 LCC983059:LCC983067 LLY983059:LLY983067 LVU983059:LVU983067 MFQ983059:MFQ983067 MPM983059:MPM983067 MZI983059:MZI983067 NJE983059:NJE983067 NTA983059:NTA983067 OCW983059:OCW983067 OMS983059:OMS983067 OWO983059:OWO983067 PGK983059:PGK983067 PQG983059:PQG983067 QAC983059:QAC983067 QJY983059:QJY983067 QTU983059:QTU983067 RDQ983059:RDQ983067 RNM983059:RNM983067 RXI983059:RXI983067 SHE983059:SHE983067 SRA983059:SRA983067 TAW983059:TAW983067 TKS983059:TKS983067 TUO983059:TUO983067 UEK983059:UEK983067 UOG983059:UOG983067 UYC983059:UYC983067 VHY983059:VHY983067 VRU983059:VRU983067 WBQ983059:WBQ983067 WLM983059:WLM983067 WVI983059:WVI983067 B19:C19 IX19:IY19 ST19:SU19 ACP19:ACQ19 AML19:AMM19 AWH19:AWI19 BGD19:BGE19 BPZ19:BQA19 BZV19:BZW19 CJR19:CJS19 CTN19:CTO19 DDJ19:DDK19 DNF19:DNG19 DXB19:DXC19 EGX19:EGY19 EQT19:EQU19 FAP19:FAQ19 FKL19:FKM19 FUH19:FUI19 GED19:GEE19 GNZ19:GOA19 GXV19:GXW19 HHR19:HHS19 HRN19:HRO19 IBJ19:IBK19 ILF19:ILG19 IVB19:IVC19 JEX19:JEY19 JOT19:JOU19 JYP19:JYQ19 KIL19:KIM19 KSH19:KSI19 LCD19:LCE19 LLZ19:LMA19 LVV19:LVW19 MFR19:MFS19 MPN19:MPO19 MZJ19:MZK19 NJF19:NJG19 NTB19:NTC19 OCX19:OCY19 OMT19:OMU19 OWP19:OWQ19 PGL19:PGM19 PQH19:PQI19 QAD19:QAE19 QJZ19:QKA19 QTV19:QTW19 RDR19:RDS19 RNN19:RNO19 RXJ19:RXK19 SHF19:SHG19 SRB19:SRC19 TAX19:TAY19 TKT19:TKU19 TUP19:TUQ19 UEL19:UEM19 UOH19:UOI19 UYD19:UYE19 VHZ19:VIA19 VRV19:VRW19 WBR19:WBS19 WLN19:WLO19 WVJ19:WVK19 B65555:C65555 IX65555:IY65555 ST65555:SU65555 ACP65555:ACQ65555 AML65555:AMM65555 AWH65555:AWI65555 BGD65555:BGE65555 BPZ65555:BQA65555 BZV65555:BZW65555 CJR65555:CJS65555 CTN65555:CTO65555 DDJ65555:DDK65555 DNF65555:DNG65555 DXB65555:DXC65555 EGX65555:EGY65555 EQT65555:EQU65555 FAP65555:FAQ65555 FKL65555:FKM65555 FUH65555:FUI65555 GED65555:GEE65555 GNZ65555:GOA65555 GXV65555:GXW65555 HHR65555:HHS65555 HRN65555:HRO65555 IBJ65555:IBK65555 ILF65555:ILG65555 IVB65555:IVC65555 JEX65555:JEY65555 JOT65555:JOU65555 JYP65555:JYQ65555 KIL65555:KIM65555 KSH65555:KSI65555 LCD65555:LCE65555 LLZ65555:LMA65555 LVV65555:LVW65555 MFR65555:MFS65555 MPN65555:MPO65555 MZJ65555:MZK65555 NJF65555:NJG65555 NTB65555:NTC65555 OCX65555:OCY65555 OMT65555:OMU65555 OWP65555:OWQ65555 PGL65555:PGM65555 PQH65555:PQI65555 QAD65555:QAE65555 QJZ65555:QKA65555 QTV65555:QTW65555 RDR65555:RDS65555 RNN65555:RNO65555 RXJ65555:RXK65555 SHF65555:SHG65555 SRB65555:SRC65555 TAX65555:TAY65555 TKT65555:TKU65555 TUP65555:TUQ65555 UEL65555:UEM65555 UOH65555:UOI65555 UYD65555:UYE65555 VHZ65555:VIA65555 VRV65555:VRW65555 WBR65555:WBS65555 WLN65555:WLO65555 WVJ65555:WVK65555 B131091:C131091 IX131091:IY131091 ST131091:SU131091 ACP131091:ACQ131091 AML131091:AMM131091 AWH131091:AWI131091 BGD131091:BGE131091 BPZ131091:BQA131091 BZV131091:BZW131091 CJR131091:CJS131091 CTN131091:CTO131091 DDJ131091:DDK131091 DNF131091:DNG131091 DXB131091:DXC131091 EGX131091:EGY131091 EQT131091:EQU131091 FAP131091:FAQ131091 FKL131091:FKM131091 FUH131091:FUI131091 GED131091:GEE131091 GNZ131091:GOA131091 GXV131091:GXW131091 HHR131091:HHS131091 HRN131091:HRO131091 IBJ131091:IBK131091 ILF131091:ILG131091 IVB131091:IVC131091 JEX131091:JEY131091 JOT131091:JOU131091 JYP131091:JYQ131091 KIL131091:KIM131091 KSH131091:KSI131091 LCD131091:LCE131091 LLZ131091:LMA131091 LVV131091:LVW131091 MFR131091:MFS131091 MPN131091:MPO131091 MZJ131091:MZK131091 NJF131091:NJG131091 NTB131091:NTC131091 OCX131091:OCY131091 OMT131091:OMU131091 OWP131091:OWQ131091 PGL131091:PGM131091 PQH131091:PQI131091 QAD131091:QAE131091 QJZ131091:QKA131091 QTV131091:QTW131091 RDR131091:RDS131091 RNN131091:RNO131091 RXJ131091:RXK131091 SHF131091:SHG131091 SRB131091:SRC131091 TAX131091:TAY131091 TKT131091:TKU131091 TUP131091:TUQ131091 UEL131091:UEM131091 UOH131091:UOI131091 UYD131091:UYE131091 VHZ131091:VIA131091 VRV131091:VRW131091 WBR131091:WBS131091 WLN131091:WLO131091 WVJ131091:WVK131091 B196627:C196627 IX196627:IY196627 ST196627:SU196627 ACP196627:ACQ196627 AML196627:AMM196627 AWH196627:AWI196627 BGD196627:BGE196627 BPZ196627:BQA196627 BZV196627:BZW196627 CJR196627:CJS196627 CTN196627:CTO196627 DDJ196627:DDK196627 DNF196627:DNG196627 DXB196627:DXC196627 EGX196627:EGY196627 EQT196627:EQU196627 FAP196627:FAQ196627 FKL196627:FKM196627 FUH196627:FUI196627 GED196627:GEE196627 GNZ196627:GOA196627 GXV196627:GXW196627 HHR196627:HHS196627 HRN196627:HRO196627 IBJ196627:IBK196627 ILF196627:ILG196627 IVB196627:IVC196627 JEX196627:JEY196627 JOT196627:JOU196627 JYP196627:JYQ196627 KIL196627:KIM196627 KSH196627:KSI196627 LCD196627:LCE196627 LLZ196627:LMA196627 LVV196627:LVW196627 MFR196627:MFS196627 MPN196627:MPO196627 MZJ196627:MZK196627 NJF196627:NJG196627 NTB196627:NTC196627 OCX196627:OCY196627 OMT196627:OMU196627 OWP196627:OWQ196627 PGL196627:PGM196627 PQH196627:PQI196627 QAD196627:QAE196627 QJZ196627:QKA196627 QTV196627:QTW196627 RDR196627:RDS196627 RNN196627:RNO196627 RXJ196627:RXK196627 SHF196627:SHG196627 SRB196627:SRC196627 TAX196627:TAY196627 TKT196627:TKU196627 TUP196627:TUQ196627 UEL196627:UEM196627 UOH196627:UOI196627 UYD196627:UYE196627 VHZ196627:VIA196627 VRV196627:VRW196627 WBR196627:WBS196627 WLN196627:WLO196627 WVJ196627:WVK196627 B262163:C262163 IX262163:IY262163 ST262163:SU262163 ACP262163:ACQ262163 AML262163:AMM262163 AWH262163:AWI262163 BGD262163:BGE262163 BPZ262163:BQA262163 BZV262163:BZW262163 CJR262163:CJS262163 CTN262163:CTO262163 DDJ262163:DDK262163 DNF262163:DNG262163 DXB262163:DXC262163 EGX262163:EGY262163 EQT262163:EQU262163 FAP262163:FAQ262163 FKL262163:FKM262163 FUH262163:FUI262163 GED262163:GEE262163 GNZ262163:GOA262163 GXV262163:GXW262163 HHR262163:HHS262163 HRN262163:HRO262163 IBJ262163:IBK262163 ILF262163:ILG262163 IVB262163:IVC262163 JEX262163:JEY262163 JOT262163:JOU262163 JYP262163:JYQ262163 KIL262163:KIM262163 KSH262163:KSI262163 LCD262163:LCE262163 LLZ262163:LMA262163 LVV262163:LVW262163 MFR262163:MFS262163 MPN262163:MPO262163 MZJ262163:MZK262163 NJF262163:NJG262163 NTB262163:NTC262163 OCX262163:OCY262163 OMT262163:OMU262163 OWP262163:OWQ262163 PGL262163:PGM262163 PQH262163:PQI262163 QAD262163:QAE262163 QJZ262163:QKA262163 QTV262163:QTW262163 RDR262163:RDS262163 RNN262163:RNO262163 RXJ262163:RXK262163 SHF262163:SHG262163 SRB262163:SRC262163 TAX262163:TAY262163 TKT262163:TKU262163 TUP262163:TUQ262163 UEL262163:UEM262163 UOH262163:UOI262163 UYD262163:UYE262163 VHZ262163:VIA262163 VRV262163:VRW262163 WBR262163:WBS262163 WLN262163:WLO262163 WVJ262163:WVK262163 B327699:C327699 IX327699:IY327699 ST327699:SU327699 ACP327699:ACQ327699 AML327699:AMM327699 AWH327699:AWI327699 BGD327699:BGE327699 BPZ327699:BQA327699 BZV327699:BZW327699 CJR327699:CJS327699 CTN327699:CTO327699 DDJ327699:DDK327699 DNF327699:DNG327699 DXB327699:DXC327699 EGX327699:EGY327699 EQT327699:EQU327699 FAP327699:FAQ327699 FKL327699:FKM327699 FUH327699:FUI327699 GED327699:GEE327699 GNZ327699:GOA327699 GXV327699:GXW327699 HHR327699:HHS327699 HRN327699:HRO327699 IBJ327699:IBK327699 ILF327699:ILG327699 IVB327699:IVC327699 JEX327699:JEY327699 JOT327699:JOU327699 JYP327699:JYQ327699 KIL327699:KIM327699 KSH327699:KSI327699 LCD327699:LCE327699 LLZ327699:LMA327699 LVV327699:LVW327699 MFR327699:MFS327699 MPN327699:MPO327699 MZJ327699:MZK327699 NJF327699:NJG327699 NTB327699:NTC327699 OCX327699:OCY327699 OMT327699:OMU327699 OWP327699:OWQ327699 PGL327699:PGM327699 PQH327699:PQI327699 QAD327699:QAE327699 QJZ327699:QKA327699 QTV327699:QTW327699 RDR327699:RDS327699 RNN327699:RNO327699 RXJ327699:RXK327699 SHF327699:SHG327699 SRB327699:SRC327699 TAX327699:TAY327699 TKT327699:TKU327699 TUP327699:TUQ327699 UEL327699:UEM327699 UOH327699:UOI327699 UYD327699:UYE327699 VHZ327699:VIA327699 VRV327699:VRW327699 WBR327699:WBS327699 WLN327699:WLO327699 WVJ327699:WVK327699 B393235:C393235 IX393235:IY393235 ST393235:SU393235 ACP393235:ACQ393235 AML393235:AMM393235 AWH393235:AWI393235 BGD393235:BGE393235 BPZ393235:BQA393235 BZV393235:BZW393235 CJR393235:CJS393235 CTN393235:CTO393235 DDJ393235:DDK393235 DNF393235:DNG393235 DXB393235:DXC393235 EGX393235:EGY393235 EQT393235:EQU393235 FAP393235:FAQ393235 FKL393235:FKM393235 FUH393235:FUI393235 GED393235:GEE393235 GNZ393235:GOA393235 GXV393235:GXW393235 HHR393235:HHS393235 HRN393235:HRO393235 IBJ393235:IBK393235 ILF393235:ILG393235 IVB393235:IVC393235 JEX393235:JEY393235 JOT393235:JOU393235 JYP393235:JYQ393235 KIL393235:KIM393235 KSH393235:KSI393235 LCD393235:LCE393235 LLZ393235:LMA393235 LVV393235:LVW393235 MFR393235:MFS393235 MPN393235:MPO393235 MZJ393235:MZK393235 NJF393235:NJG393235 NTB393235:NTC393235 OCX393235:OCY393235 OMT393235:OMU393235 OWP393235:OWQ393235 PGL393235:PGM393235 PQH393235:PQI393235 QAD393235:QAE393235 QJZ393235:QKA393235 QTV393235:QTW393235 RDR393235:RDS393235 RNN393235:RNO393235 RXJ393235:RXK393235 SHF393235:SHG393235 SRB393235:SRC393235 TAX393235:TAY393235 TKT393235:TKU393235 TUP393235:TUQ393235 UEL393235:UEM393235 UOH393235:UOI393235 UYD393235:UYE393235 VHZ393235:VIA393235 VRV393235:VRW393235 WBR393235:WBS393235 WLN393235:WLO393235 WVJ393235:WVK393235 B458771:C458771 IX458771:IY458771 ST458771:SU458771 ACP458771:ACQ458771 AML458771:AMM458771 AWH458771:AWI458771 BGD458771:BGE458771 BPZ458771:BQA458771 BZV458771:BZW458771 CJR458771:CJS458771 CTN458771:CTO458771 DDJ458771:DDK458771 DNF458771:DNG458771 DXB458771:DXC458771 EGX458771:EGY458771 EQT458771:EQU458771 FAP458771:FAQ458771 FKL458771:FKM458771 FUH458771:FUI458771 GED458771:GEE458771 GNZ458771:GOA458771 GXV458771:GXW458771 HHR458771:HHS458771 HRN458771:HRO458771 IBJ458771:IBK458771 ILF458771:ILG458771 IVB458771:IVC458771 JEX458771:JEY458771 JOT458771:JOU458771 JYP458771:JYQ458771 KIL458771:KIM458771 KSH458771:KSI458771 LCD458771:LCE458771 LLZ458771:LMA458771 LVV458771:LVW458771 MFR458771:MFS458771 MPN458771:MPO458771 MZJ458771:MZK458771 NJF458771:NJG458771 NTB458771:NTC458771 OCX458771:OCY458771 OMT458771:OMU458771 OWP458771:OWQ458771 PGL458771:PGM458771 PQH458771:PQI458771 QAD458771:QAE458771 QJZ458771:QKA458771 QTV458771:QTW458771 RDR458771:RDS458771 RNN458771:RNO458771 RXJ458771:RXK458771 SHF458771:SHG458771 SRB458771:SRC458771 TAX458771:TAY458771 TKT458771:TKU458771 TUP458771:TUQ458771 UEL458771:UEM458771 UOH458771:UOI458771 UYD458771:UYE458771 VHZ458771:VIA458771 VRV458771:VRW458771 WBR458771:WBS458771 WLN458771:WLO458771 WVJ458771:WVK458771 B524307:C524307 IX524307:IY524307 ST524307:SU524307 ACP524307:ACQ524307 AML524307:AMM524307 AWH524307:AWI524307 BGD524307:BGE524307 BPZ524307:BQA524307 BZV524307:BZW524307 CJR524307:CJS524307 CTN524307:CTO524307 DDJ524307:DDK524307 DNF524307:DNG524307 DXB524307:DXC524307 EGX524307:EGY524307 EQT524307:EQU524307 FAP524307:FAQ524307 FKL524307:FKM524307 FUH524307:FUI524307 GED524307:GEE524307 GNZ524307:GOA524307 GXV524307:GXW524307 HHR524307:HHS524307 HRN524307:HRO524307 IBJ524307:IBK524307 ILF524307:ILG524307 IVB524307:IVC524307 JEX524307:JEY524307 JOT524307:JOU524307 JYP524307:JYQ524307 KIL524307:KIM524307 KSH524307:KSI524307 LCD524307:LCE524307 LLZ524307:LMA524307 LVV524307:LVW524307 MFR524307:MFS524307 MPN524307:MPO524307 MZJ524307:MZK524307 NJF524307:NJG524307 NTB524307:NTC524307 OCX524307:OCY524307 OMT524307:OMU524307 OWP524307:OWQ524307 PGL524307:PGM524307 PQH524307:PQI524307 QAD524307:QAE524307 QJZ524307:QKA524307 QTV524307:QTW524307 RDR524307:RDS524307 RNN524307:RNO524307 RXJ524307:RXK524307 SHF524307:SHG524307 SRB524307:SRC524307 TAX524307:TAY524307 TKT524307:TKU524307 TUP524307:TUQ524307 UEL524307:UEM524307 UOH524307:UOI524307 UYD524307:UYE524307 VHZ524307:VIA524307 VRV524307:VRW524307 WBR524307:WBS524307 WLN524307:WLO524307 WVJ524307:WVK524307 B589843:C589843 IX589843:IY589843 ST589843:SU589843 ACP589843:ACQ589843 AML589843:AMM589843 AWH589843:AWI589843 BGD589843:BGE589843 BPZ589843:BQA589843 BZV589843:BZW589843 CJR589843:CJS589843 CTN589843:CTO589843 DDJ589843:DDK589843 DNF589843:DNG589843 DXB589843:DXC589843 EGX589843:EGY589843 EQT589843:EQU589843 FAP589843:FAQ589843 FKL589843:FKM589843 FUH589843:FUI589843 GED589843:GEE589843 GNZ589843:GOA589843 GXV589843:GXW589843 HHR589843:HHS589843 HRN589843:HRO589843 IBJ589843:IBK589843 ILF589843:ILG589843 IVB589843:IVC589843 JEX589843:JEY589843 JOT589843:JOU589843 JYP589843:JYQ589843 KIL589843:KIM589843 KSH589843:KSI589843 LCD589843:LCE589843 LLZ589843:LMA589843 LVV589843:LVW589843 MFR589843:MFS589843 MPN589843:MPO589843 MZJ589843:MZK589843 NJF589843:NJG589843 NTB589843:NTC589843 OCX589843:OCY589843 OMT589843:OMU589843 OWP589843:OWQ589843 PGL589843:PGM589843 PQH589843:PQI589843 QAD589843:QAE589843 QJZ589843:QKA589843 QTV589843:QTW589843 RDR589843:RDS589843 RNN589843:RNO589843 RXJ589843:RXK589843 SHF589843:SHG589843 SRB589843:SRC589843 TAX589843:TAY589843 TKT589843:TKU589843 TUP589843:TUQ589843 UEL589843:UEM589843 UOH589843:UOI589843 UYD589843:UYE589843 VHZ589843:VIA589843 VRV589843:VRW589843 WBR589843:WBS589843 WLN589843:WLO589843 WVJ589843:WVK589843 B655379:C655379 IX655379:IY655379 ST655379:SU655379 ACP655379:ACQ655379 AML655379:AMM655379 AWH655379:AWI655379 BGD655379:BGE655379 BPZ655379:BQA655379 BZV655379:BZW655379 CJR655379:CJS655379 CTN655379:CTO655379 DDJ655379:DDK655379 DNF655379:DNG655379 DXB655379:DXC655379 EGX655379:EGY655379 EQT655379:EQU655379 FAP655379:FAQ655379 FKL655379:FKM655379 FUH655379:FUI655379 GED655379:GEE655379 GNZ655379:GOA655379 GXV655379:GXW655379 HHR655379:HHS655379 HRN655379:HRO655379 IBJ655379:IBK655379 ILF655379:ILG655379 IVB655379:IVC655379 JEX655379:JEY655379 JOT655379:JOU655379 JYP655379:JYQ655379 KIL655379:KIM655379 KSH655379:KSI655379 LCD655379:LCE655379 LLZ655379:LMA655379 LVV655379:LVW655379 MFR655379:MFS655379 MPN655379:MPO655379 MZJ655379:MZK655379 NJF655379:NJG655379 NTB655379:NTC655379 OCX655379:OCY655379 OMT655379:OMU655379 OWP655379:OWQ655379 PGL655379:PGM655379 PQH655379:PQI655379 QAD655379:QAE655379 QJZ655379:QKA655379 QTV655379:QTW655379 RDR655379:RDS655379 RNN655379:RNO655379 RXJ655379:RXK655379 SHF655379:SHG655379 SRB655379:SRC655379 TAX655379:TAY655379 TKT655379:TKU655379 TUP655379:TUQ655379 UEL655379:UEM655379 UOH655379:UOI655379 UYD655379:UYE655379 VHZ655379:VIA655379 VRV655379:VRW655379 WBR655379:WBS655379 WLN655379:WLO655379 WVJ655379:WVK655379 B720915:C720915 IX720915:IY720915 ST720915:SU720915 ACP720915:ACQ720915 AML720915:AMM720915 AWH720915:AWI720915 BGD720915:BGE720915 BPZ720915:BQA720915 BZV720915:BZW720915 CJR720915:CJS720915 CTN720915:CTO720915 DDJ720915:DDK720915 DNF720915:DNG720915 DXB720915:DXC720915 EGX720915:EGY720915 EQT720915:EQU720915 FAP720915:FAQ720915 FKL720915:FKM720915 FUH720915:FUI720915 GED720915:GEE720915 GNZ720915:GOA720915 GXV720915:GXW720915 HHR720915:HHS720915 HRN720915:HRO720915 IBJ720915:IBK720915 ILF720915:ILG720915 IVB720915:IVC720915 JEX720915:JEY720915 JOT720915:JOU720915 JYP720915:JYQ720915 KIL720915:KIM720915 KSH720915:KSI720915 LCD720915:LCE720915 LLZ720915:LMA720915 LVV720915:LVW720915 MFR720915:MFS720915 MPN720915:MPO720915 MZJ720915:MZK720915 NJF720915:NJG720915 NTB720915:NTC720915 OCX720915:OCY720915 OMT720915:OMU720915 OWP720915:OWQ720915 PGL720915:PGM720915 PQH720915:PQI720915 QAD720915:QAE720915 QJZ720915:QKA720915 QTV720915:QTW720915 RDR720915:RDS720915 RNN720915:RNO720915 RXJ720915:RXK720915 SHF720915:SHG720915 SRB720915:SRC720915 TAX720915:TAY720915 TKT720915:TKU720915 TUP720915:TUQ720915 UEL720915:UEM720915 UOH720915:UOI720915 UYD720915:UYE720915 VHZ720915:VIA720915 VRV720915:VRW720915 WBR720915:WBS720915 WLN720915:WLO720915 WVJ720915:WVK720915 B786451:C786451 IX786451:IY786451 ST786451:SU786451 ACP786451:ACQ786451 AML786451:AMM786451 AWH786451:AWI786451 BGD786451:BGE786451 BPZ786451:BQA786451 BZV786451:BZW786451 CJR786451:CJS786451 CTN786451:CTO786451 DDJ786451:DDK786451 DNF786451:DNG786451 DXB786451:DXC786451 EGX786451:EGY786451 EQT786451:EQU786451 FAP786451:FAQ786451 FKL786451:FKM786451 FUH786451:FUI786451 GED786451:GEE786451 GNZ786451:GOA786451 GXV786451:GXW786451 HHR786451:HHS786451 HRN786451:HRO786451 IBJ786451:IBK786451 ILF786451:ILG786451 IVB786451:IVC786451 JEX786451:JEY786451 JOT786451:JOU786451 JYP786451:JYQ786451 KIL786451:KIM786451 KSH786451:KSI786451 LCD786451:LCE786451 LLZ786451:LMA786451 LVV786451:LVW786451 MFR786451:MFS786451 MPN786451:MPO786451 MZJ786451:MZK786451 NJF786451:NJG786451 NTB786451:NTC786451 OCX786451:OCY786451 OMT786451:OMU786451 OWP786451:OWQ786451 PGL786451:PGM786451 PQH786451:PQI786451 QAD786451:QAE786451 QJZ786451:QKA786451 QTV786451:QTW786451 RDR786451:RDS786451 RNN786451:RNO786451 RXJ786451:RXK786451 SHF786451:SHG786451 SRB786451:SRC786451 TAX786451:TAY786451 TKT786451:TKU786451 TUP786451:TUQ786451 UEL786451:UEM786451 UOH786451:UOI786451 UYD786451:UYE786451 VHZ786451:VIA786451 VRV786451:VRW786451 WBR786451:WBS786451 WLN786451:WLO786451 WVJ786451:WVK786451 B851987:C851987 IX851987:IY851987 ST851987:SU851987 ACP851987:ACQ851987 AML851987:AMM851987 AWH851987:AWI851987 BGD851987:BGE851987 BPZ851987:BQA851987 BZV851987:BZW851987 CJR851987:CJS851987 CTN851987:CTO851987 DDJ851987:DDK851987 DNF851987:DNG851987 DXB851987:DXC851987 EGX851987:EGY851987 EQT851987:EQU851987 FAP851987:FAQ851987 FKL851987:FKM851987 FUH851987:FUI851987 GED851987:GEE851987 GNZ851987:GOA851987 GXV851987:GXW851987 HHR851987:HHS851987 HRN851987:HRO851987 IBJ851987:IBK851987 ILF851987:ILG851987 IVB851987:IVC851987 JEX851987:JEY851987 JOT851987:JOU851987 JYP851987:JYQ851987 KIL851987:KIM851987 KSH851987:KSI851987 LCD851987:LCE851987 LLZ851987:LMA851987 LVV851987:LVW851987 MFR851987:MFS851987 MPN851987:MPO851987 MZJ851987:MZK851987 NJF851987:NJG851987 NTB851987:NTC851987 OCX851987:OCY851987 OMT851987:OMU851987 OWP851987:OWQ851987 PGL851987:PGM851987 PQH851987:PQI851987 QAD851987:QAE851987 QJZ851987:QKA851987 QTV851987:QTW851987 RDR851987:RDS851987 RNN851987:RNO851987 RXJ851987:RXK851987 SHF851987:SHG851987 SRB851987:SRC851987 TAX851987:TAY851987 TKT851987:TKU851987 TUP851987:TUQ851987 UEL851987:UEM851987 UOH851987:UOI851987 UYD851987:UYE851987 VHZ851987:VIA851987 VRV851987:VRW851987 WBR851987:WBS851987 WLN851987:WLO851987 WVJ851987:WVK851987 B917523:C917523 IX917523:IY917523 ST917523:SU917523 ACP917523:ACQ917523 AML917523:AMM917523 AWH917523:AWI917523 BGD917523:BGE917523 BPZ917523:BQA917523 BZV917523:BZW917523 CJR917523:CJS917523 CTN917523:CTO917523 DDJ917523:DDK917523 DNF917523:DNG917523 DXB917523:DXC917523 EGX917523:EGY917523 EQT917523:EQU917523 FAP917523:FAQ917523 FKL917523:FKM917523 FUH917523:FUI917523 GED917523:GEE917523 GNZ917523:GOA917523 GXV917523:GXW917523 HHR917523:HHS917523 HRN917523:HRO917523 IBJ917523:IBK917523 ILF917523:ILG917523 IVB917523:IVC917523 JEX917523:JEY917523 JOT917523:JOU917523 JYP917523:JYQ917523 KIL917523:KIM917523 KSH917523:KSI917523 LCD917523:LCE917523 LLZ917523:LMA917523 LVV917523:LVW917523 MFR917523:MFS917523 MPN917523:MPO917523 MZJ917523:MZK917523 NJF917523:NJG917523 NTB917523:NTC917523 OCX917523:OCY917523 OMT917523:OMU917523 OWP917523:OWQ917523 PGL917523:PGM917523 PQH917523:PQI917523 QAD917523:QAE917523 QJZ917523:QKA917523 QTV917523:QTW917523 RDR917523:RDS917523 RNN917523:RNO917523 RXJ917523:RXK917523 SHF917523:SHG917523 SRB917523:SRC917523 TAX917523:TAY917523 TKT917523:TKU917523 TUP917523:TUQ917523 UEL917523:UEM917523 UOH917523:UOI917523 UYD917523:UYE917523 VHZ917523:VIA917523 VRV917523:VRW917523 WBR917523:WBS917523 WLN917523:WLO917523 WVJ917523:WVK917523 B983059:C983059 IX983059:IY983059 ST983059:SU983059 ACP983059:ACQ983059 AML983059:AMM983059 AWH983059:AWI983059 BGD983059:BGE983059 BPZ983059:BQA983059 BZV983059:BZW983059 CJR983059:CJS983059 CTN983059:CTO983059 DDJ983059:DDK983059 DNF983059:DNG983059 DXB983059:DXC983059 EGX983059:EGY983059 EQT983059:EQU983059 FAP983059:FAQ983059 FKL983059:FKM983059 FUH983059:FUI983059 GED983059:GEE983059 GNZ983059:GOA983059 GXV983059:GXW983059 HHR983059:HHS983059 HRN983059:HRO983059 IBJ983059:IBK983059 ILF983059:ILG983059 IVB983059:IVC983059 JEX983059:JEY983059 JOT983059:JOU983059 JYP983059:JYQ983059 KIL983059:KIM983059 KSH983059:KSI983059 LCD983059:LCE983059 LLZ983059:LMA983059 LVV983059:LVW983059 MFR983059:MFS983059 MPN983059:MPO983059 MZJ983059:MZK983059 NJF983059:NJG983059 NTB983059:NTC983059 OCX983059:OCY983059 OMT983059:OMU983059 OWP983059:OWQ983059 PGL983059:PGM983059 PQH983059:PQI983059 QAD983059:QAE983059 QJZ983059:QKA983059 QTV983059:QTW983059 RDR983059:RDS983059 RNN983059:RNO983059 RXJ983059:RXK983059 SHF983059:SHG983059 SRB983059:SRC983059 TAX983059:TAY983059 TKT983059:TKU983059 TUP983059:TUQ983059 UEL983059:UEM983059 UOH983059:UOI983059 UYD983059:UYE983059 VHZ983059:VIA983059 VRV983059:VRW983059 WBR983059:WBS983059 WLN983059:WLO983059 WVJ983059:WVK983059 E26:H27 JA26:JD27 SW26:SZ27 ACS26:ACV27 AMO26:AMR27 AWK26:AWN27 BGG26:BGJ27 BQC26:BQF27 BZY26:CAB27 CJU26:CJX27 CTQ26:CTT27 DDM26:DDP27 DNI26:DNL27 DXE26:DXH27 EHA26:EHD27 EQW26:EQZ27 FAS26:FAV27 FKO26:FKR27 FUK26:FUN27 GEG26:GEJ27 GOC26:GOF27 GXY26:GYB27 HHU26:HHX27 HRQ26:HRT27 IBM26:IBP27 ILI26:ILL27 IVE26:IVH27 JFA26:JFD27 JOW26:JOZ27 JYS26:JYV27 KIO26:KIR27 KSK26:KSN27 LCG26:LCJ27 LMC26:LMF27 LVY26:LWB27 MFU26:MFX27 MPQ26:MPT27 MZM26:MZP27 NJI26:NJL27 NTE26:NTH27 ODA26:ODD27 OMW26:OMZ27 OWS26:OWV27 PGO26:PGR27 PQK26:PQN27 QAG26:QAJ27 QKC26:QKF27 QTY26:QUB27 RDU26:RDX27 RNQ26:RNT27 RXM26:RXP27 SHI26:SHL27 SRE26:SRH27 TBA26:TBD27 TKW26:TKZ27 TUS26:TUV27 UEO26:UER27 UOK26:UON27 UYG26:UYJ27 VIC26:VIF27 VRY26:VSB27 WBU26:WBX27 WLQ26:WLT27 WVM26:WVP27 E65562:H65563 JA65562:JD65563 SW65562:SZ65563 ACS65562:ACV65563 AMO65562:AMR65563 AWK65562:AWN65563 BGG65562:BGJ65563 BQC65562:BQF65563 BZY65562:CAB65563 CJU65562:CJX65563 CTQ65562:CTT65563 DDM65562:DDP65563 DNI65562:DNL65563 DXE65562:DXH65563 EHA65562:EHD65563 EQW65562:EQZ65563 FAS65562:FAV65563 FKO65562:FKR65563 FUK65562:FUN65563 GEG65562:GEJ65563 GOC65562:GOF65563 GXY65562:GYB65563 HHU65562:HHX65563 HRQ65562:HRT65563 IBM65562:IBP65563 ILI65562:ILL65563 IVE65562:IVH65563 JFA65562:JFD65563 JOW65562:JOZ65563 JYS65562:JYV65563 KIO65562:KIR65563 KSK65562:KSN65563 LCG65562:LCJ65563 LMC65562:LMF65563 LVY65562:LWB65563 MFU65562:MFX65563 MPQ65562:MPT65563 MZM65562:MZP65563 NJI65562:NJL65563 NTE65562:NTH65563 ODA65562:ODD65563 OMW65562:OMZ65563 OWS65562:OWV65563 PGO65562:PGR65563 PQK65562:PQN65563 QAG65562:QAJ65563 QKC65562:QKF65563 QTY65562:QUB65563 RDU65562:RDX65563 RNQ65562:RNT65563 RXM65562:RXP65563 SHI65562:SHL65563 SRE65562:SRH65563 TBA65562:TBD65563 TKW65562:TKZ65563 TUS65562:TUV65563 UEO65562:UER65563 UOK65562:UON65563 UYG65562:UYJ65563 VIC65562:VIF65563 VRY65562:VSB65563 WBU65562:WBX65563 WLQ65562:WLT65563 WVM65562:WVP65563 E131098:H131099 JA131098:JD131099 SW131098:SZ131099 ACS131098:ACV131099 AMO131098:AMR131099 AWK131098:AWN131099 BGG131098:BGJ131099 BQC131098:BQF131099 BZY131098:CAB131099 CJU131098:CJX131099 CTQ131098:CTT131099 DDM131098:DDP131099 DNI131098:DNL131099 DXE131098:DXH131099 EHA131098:EHD131099 EQW131098:EQZ131099 FAS131098:FAV131099 FKO131098:FKR131099 FUK131098:FUN131099 GEG131098:GEJ131099 GOC131098:GOF131099 GXY131098:GYB131099 HHU131098:HHX131099 HRQ131098:HRT131099 IBM131098:IBP131099 ILI131098:ILL131099 IVE131098:IVH131099 JFA131098:JFD131099 JOW131098:JOZ131099 JYS131098:JYV131099 KIO131098:KIR131099 KSK131098:KSN131099 LCG131098:LCJ131099 LMC131098:LMF131099 LVY131098:LWB131099 MFU131098:MFX131099 MPQ131098:MPT131099 MZM131098:MZP131099 NJI131098:NJL131099 NTE131098:NTH131099 ODA131098:ODD131099 OMW131098:OMZ131099 OWS131098:OWV131099 PGO131098:PGR131099 PQK131098:PQN131099 QAG131098:QAJ131099 QKC131098:QKF131099 QTY131098:QUB131099 RDU131098:RDX131099 RNQ131098:RNT131099 RXM131098:RXP131099 SHI131098:SHL131099 SRE131098:SRH131099 TBA131098:TBD131099 TKW131098:TKZ131099 TUS131098:TUV131099 UEO131098:UER131099 UOK131098:UON131099 UYG131098:UYJ131099 VIC131098:VIF131099 VRY131098:VSB131099 WBU131098:WBX131099 WLQ131098:WLT131099 WVM131098:WVP131099 E196634:H196635 JA196634:JD196635 SW196634:SZ196635 ACS196634:ACV196635 AMO196634:AMR196635 AWK196634:AWN196635 BGG196634:BGJ196635 BQC196634:BQF196635 BZY196634:CAB196635 CJU196634:CJX196635 CTQ196634:CTT196635 DDM196634:DDP196635 DNI196634:DNL196635 DXE196634:DXH196635 EHA196634:EHD196635 EQW196634:EQZ196635 FAS196634:FAV196635 FKO196634:FKR196635 FUK196634:FUN196635 GEG196634:GEJ196635 GOC196634:GOF196635 GXY196634:GYB196635 HHU196634:HHX196635 HRQ196634:HRT196635 IBM196634:IBP196635 ILI196634:ILL196635 IVE196634:IVH196635 JFA196634:JFD196635 JOW196634:JOZ196635 JYS196634:JYV196635 KIO196634:KIR196635 KSK196634:KSN196635 LCG196634:LCJ196635 LMC196634:LMF196635 LVY196634:LWB196635 MFU196634:MFX196635 MPQ196634:MPT196635 MZM196634:MZP196635 NJI196634:NJL196635 NTE196634:NTH196635 ODA196634:ODD196635 OMW196634:OMZ196635 OWS196634:OWV196635 PGO196634:PGR196635 PQK196634:PQN196635 QAG196634:QAJ196635 QKC196634:QKF196635 QTY196634:QUB196635 RDU196634:RDX196635 RNQ196634:RNT196635 RXM196634:RXP196635 SHI196634:SHL196635 SRE196634:SRH196635 TBA196634:TBD196635 TKW196634:TKZ196635 TUS196634:TUV196635 UEO196634:UER196635 UOK196634:UON196635 UYG196634:UYJ196635 VIC196634:VIF196635 VRY196634:VSB196635 WBU196634:WBX196635 WLQ196634:WLT196635 WVM196634:WVP196635 E262170:H262171 JA262170:JD262171 SW262170:SZ262171 ACS262170:ACV262171 AMO262170:AMR262171 AWK262170:AWN262171 BGG262170:BGJ262171 BQC262170:BQF262171 BZY262170:CAB262171 CJU262170:CJX262171 CTQ262170:CTT262171 DDM262170:DDP262171 DNI262170:DNL262171 DXE262170:DXH262171 EHA262170:EHD262171 EQW262170:EQZ262171 FAS262170:FAV262171 FKO262170:FKR262171 FUK262170:FUN262171 GEG262170:GEJ262171 GOC262170:GOF262171 GXY262170:GYB262171 HHU262170:HHX262171 HRQ262170:HRT262171 IBM262170:IBP262171 ILI262170:ILL262171 IVE262170:IVH262171 JFA262170:JFD262171 JOW262170:JOZ262171 JYS262170:JYV262171 KIO262170:KIR262171 KSK262170:KSN262171 LCG262170:LCJ262171 LMC262170:LMF262171 LVY262170:LWB262171 MFU262170:MFX262171 MPQ262170:MPT262171 MZM262170:MZP262171 NJI262170:NJL262171 NTE262170:NTH262171 ODA262170:ODD262171 OMW262170:OMZ262171 OWS262170:OWV262171 PGO262170:PGR262171 PQK262170:PQN262171 QAG262170:QAJ262171 QKC262170:QKF262171 QTY262170:QUB262171 RDU262170:RDX262171 RNQ262170:RNT262171 RXM262170:RXP262171 SHI262170:SHL262171 SRE262170:SRH262171 TBA262170:TBD262171 TKW262170:TKZ262171 TUS262170:TUV262171 UEO262170:UER262171 UOK262170:UON262171 UYG262170:UYJ262171 VIC262170:VIF262171 VRY262170:VSB262171 WBU262170:WBX262171 WLQ262170:WLT262171 WVM262170:WVP262171 E327706:H327707 JA327706:JD327707 SW327706:SZ327707 ACS327706:ACV327707 AMO327706:AMR327707 AWK327706:AWN327707 BGG327706:BGJ327707 BQC327706:BQF327707 BZY327706:CAB327707 CJU327706:CJX327707 CTQ327706:CTT327707 DDM327706:DDP327707 DNI327706:DNL327707 DXE327706:DXH327707 EHA327706:EHD327707 EQW327706:EQZ327707 FAS327706:FAV327707 FKO327706:FKR327707 FUK327706:FUN327707 GEG327706:GEJ327707 GOC327706:GOF327707 GXY327706:GYB327707 HHU327706:HHX327707 HRQ327706:HRT327707 IBM327706:IBP327707 ILI327706:ILL327707 IVE327706:IVH327707 JFA327706:JFD327707 JOW327706:JOZ327707 JYS327706:JYV327707 KIO327706:KIR327707 KSK327706:KSN327707 LCG327706:LCJ327707 LMC327706:LMF327707 LVY327706:LWB327707 MFU327706:MFX327707 MPQ327706:MPT327707 MZM327706:MZP327707 NJI327706:NJL327707 NTE327706:NTH327707 ODA327706:ODD327707 OMW327706:OMZ327707 OWS327706:OWV327707 PGO327706:PGR327707 PQK327706:PQN327707 QAG327706:QAJ327707 QKC327706:QKF327707 QTY327706:QUB327707 RDU327706:RDX327707 RNQ327706:RNT327707 RXM327706:RXP327707 SHI327706:SHL327707 SRE327706:SRH327707 TBA327706:TBD327707 TKW327706:TKZ327707 TUS327706:TUV327707 UEO327706:UER327707 UOK327706:UON327707 UYG327706:UYJ327707 VIC327706:VIF327707 VRY327706:VSB327707 WBU327706:WBX327707 WLQ327706:WLT327707 WVM327706:WVP327707 E393242:H393243 JA393242:JD393243 SW393242:SZ393243 ACS393242:ACV393243 AMO393242:AMR393243 AWK393242:AWN393243 BGG393242:BGJ393243 BQC393242:BQF393243 BZY393242:CAB393243 CJU393242:CJX393243 CTQ393242:CTT393243 DDM393242:DDP393243 DNI393242:DNL393243 DXE393242:DXH393243 EHA393242:EHD393243 EQW393242:EQZ393243 FAS393242:FAV393243 FKO393242:FKR393243 FUK393242:FUN393243 GEG393242:GEJ393243 GOC393242:GOF393243 GXY393242:GYB393243 HHU393242:HHX393243 HRQ393242:HRT393243 IBM393242:IBP393243 ILI393242:ILL393243 IVE393242:IVH393243 JFA393242:JFD393243 JOW393242:JOZ393243 JYS393242:JYV393243 KIO393242:KIR393243 KSK393242:KSN393243 LCG393242:LCJ393243 LMC393242:LMF393243 LVY393242:LWB393243 MFU393242:MFX393243 MPQ393242:MPT393243 MZM393242:MZP393243 NJI393242:NJL393243 NTE393242:NTH393243 ODA393242:ODD393243 OMW393242:OMZ393243 OWS393242:OWV393243 PGO393242:PGR393243 PQK393242:PQN393243 QAG393242:QAJ393243 QKC393242:QKF393243 QTY393242:QUB393243 RDU393242:RDX393243 RNQ393242:RNT393243 RXM393242:RXP393243 SHI393242:SHL393243 SRE393242:SRH393243 TBA393242:TBD393243 TKW393242:TKZ393243 TUS393242:TUV393243 UEO393242:UER393243 UOK393242:UON393243 UYG393242:UYJ393243 VIC393242:VIF393243 VRY393242:VSB393243 WBU393242:WBX393243 WLQ393242:WLT393243 WVM393242:WVP393243 E458778:H458779 JA458778:JD458779 SW458778:SZ458779 ACS458778:ACV458779 AMO458778:AMR458779 AWK458778:AWN458779 BGG458778:BGJ458779 BQC458778:BQF458779 BZY458778:CAB458779 CJU458778:CJX458779 CTQ458778:CTT458779 DDM458778:DDP458779 DNI458778:DNL458779 DXE458778:DXH458779 EHA458778:EHD458779 EQW458778:EQZ458779 FAS458778:FAV458779 FKO458778:FKR458779 FUK458778:FUN458779 GEG458778:GEJ458779 GOC458778:GOF458779 GXY458778:GYB458779 HHU458778:HHX458779 HRQ458778:HRT458779 IBM458778:IBP458779 ILI458778:ILL458779 IVE458778:IVH458779 JFA458778:JFD458779 JOW458778:JOZ458779 JYS458778:JYV458779 KIO458778:KIR458779 KSK458778:KSN458779 LCG458778:LCJ458779 LMC458778:LMF458779 LVY458778:LWB458779 MFU458778:MFX458779 MPQ458778:MPT458779 MZM458778:MZP458779 NJI458778:NJL458779 NTE458778:NTH458779 ODA458778:ODD458779 OMW458778:OMZ458779 OWS458778:OWV458779 PGO458778:PGR458779 PQK458778:PQN458779 QAG458778:QAJ458779 QKC458778:QKF458779 QTY458778:QUB458779 RDU458778:RDX458779 RNQ458778:RNT458779 RXM458778:RXP458779 SHI458778:SHL458779 SRE458778:SRH458779 TBA458778:TBD458779 TKW458778:TKZ458779 TUS458778:TUV458779 UEO458778:UER458779 UOK458778:UON458779 UYG458778:UYJ458779 VIC458778:VIF458779 VRY458778:VSB458779 WBU458778:WBX458779 WLQ458778:WLT458779 WVM458778:WVP458779 E524314:H524315 JA524314:JD524315 SW524314:SZ524315 ACS524314:ACV524315 AMO524314:AMR524315 AWK524314:AWN524315 BGG524314:BGJ524315 BQC524314:BQF524315 BZY524314:CAB524315 CJU524314:CJX524315 CTQ524314:CTT524315 DDM524314:DDP524315 DNI524314:DNL524315 DXE524314:DXH524315 EHA524314:EHD524315 EQW524314:EQZ524315 FAS524314:FAV524315 FKO524314:FKR524315 FUK524314:FUN524315 GEG524314:GEJ524315 GOC524314:GOF524315 GXY524314:GYB524315 HHU524314:HHX524315 HRQ524314:HRT524315 IBM524314:IBP524315 ILI524314:ILL524315 IVE524314:IVH524315 JFA524314:JFD524315 JOW524314:JOZ524315 JYS524314:JYV524315 KIO524314:KIR524315 KSK524314:KSN524315 LCG524314:LCJ524315 LMC524314:LMF524315 LVY524314:LWB524315 MFU524314:MFX524315 MPQ524314:MPT524315 MZM524314:MZP524315 NJI524314:NJL524315 NTE524314:NTH524315 ODA524314:ODD524315 OMW524314:OMZ524315 OWS524314:OWV524315 PGO524314:PGR524315 PQK524314:PQN524315 QAG524314:QAJ524315 QKC524314:QKF524315 QTY524314:QUB524315 RDU524314:RDX524315 RNQ524314:RNT524315 RXM524314:RXP524315 SHI524314:SHL524315 SRE524314:SRH524315 TBA524314:TBD524315 TKW524314:TKZ524315 TUS524314:TUV524315 UEO524314:UER524315 UOK524314:UON524315 UYG524314:UYJ524315 VIC524314:VIF524315 VRY524314:VSB524315 WBU524314:WBX524315 WLQ524314:WLT524315 WVM524314:WVP524315 E589850:H589851 JA589850:JD589851 SW589850:SZ589851 ACS589850:ACV589851 AMO589850:AMR589851 AWK589850:AWN589851 BGG589850:BGJ589851 BQC589850:BQF589851 BZY589850:CAB589851 CJU589850:CJX589851 CTQ589850:CTT589851 DDM589850:DDP589851 DNI589850:DNL589851 DXE589850:DXH589851 EHA589850:EHD589851 EQW589850:EQZ589851 FAS589850:FAV589851 FKO589850:FKR589851 FUK589850:FUN589851 GEG589850:GEJ589851 GOC589850:GOF589851 GXY589850:GYB589851 HHU589850:HHX589851 HRQ589850:HRT589851 IBM589850:IBP589851 ILI589850:ILL589851 IVE589850:IVH589851 JFA589850:JFD589851 JOW589850:JOZ589851 JYS589850:JYV589851 KIO589850:KIR589851 KSK589850:KSN589851 LCG589850:LCJ589851 LMC589850:LMF589851 LVY589850:LWB589851 MFU589850:MFX589851 MPQ589850:MPT589851 MZM589850:MZP589851 NJI589850:NJL589851 NTE589850:NTH589851 ODA589850:ODD589851 OMW589850:OMZ589851 OWS589850:OWV589851 PGO589850:PGR589851 PQK589850:PQN589851 QAG589850:QAJ589851 QKC589850:QKF589851 QTY589850:QUB589851 RDU589850:RDX589851 RNQ589850:RNT589851 RXM589850:RXP589851 SHI589850:SHL589851 SRE589850:SRH589851 TBA589850:TBD589851 TKW589850:TKZ589851 TUS589850:TUV589851 UEO589850:UER589851 UOK589850:UON589851 UYG589850:UYJ589851 VIC589850:VIF589851 VRY589850:VSB589851 WBU589850:WBX589851 WLQ589850:WLT589851 WVM589850:WVP589851 E655386:H655387 JA655386:JD655387 SW655386:SZ655387 ACS655386:ACV655387 AMO655386:AMR655387 AWK655386:AWN655387 BGG655386:BGJ655387 BQC655386:BQF655387 BZY655386:CAB655387 CJU655386:CJX655387 CTQ655386:CTT655387 DDM655386:DDP655387 DNI655386:DNL655387 DXE655386:DXH655387 EHA655386:EHD655387 EQW655386:EQZ655387 FAS655386:FAV655387 FKO655386:FKR655387 FUK655386:FUN655387 GEG655386:GEJ655387 GOC655386:GOF655387 GXY655386:GYB655387 HHU655386:HHX655387 HRQ655386:HRT655387 IBM655386:IBP655387 ILI655386:ILL655387 IVE655386:IVH655387 JFA655386:JFD655387 JOW655386:JOZ655387 JYS655386:JYV655387 KIO655386:KIR655387 KSK655386:KSN655387 LCG655386:LCJ655387 LMC655386:LMF655387 LVY655386:LWB655387 MFU655386:MFX655387 MPQ655386:MPT655387 MZM655386:MZP655387 NJI655386:NJL655387 NTE655386:NTH655387 ODA655386:ODD655387 OMW655386:OMZ655387 OWS655386:OWV655387 PGO655386:PGR655387 PQK655386:PQN655387 QAG655386:QAJ655387 QKC655386:QKF655387 QTY655386:QUB655387 RDU655386:RDX655387 RNQ655386:RNT655387 RXM655386:RXP655387 SHI655386:SHL655387 SRE655386:SRH655387 TBA655386:TBD655387 TKW655386:TKZ655387 TUS655386:TUV655387 UEO655386:UER655387 UOK655386:UON655387 UYG655386:UYJ655387 VIC655386:VIF655387 VRY655386:VSB655387 WBU655386:WBX655387 WLQ655386:WLT655387 WVM655386:WVP655387 E720922:H720923 JA720922:JD720923 SW720922:SZ720923 ACS720922:ACV720923 AMO720922:AMR720923 AWK720922:AWN720923 BGG720922:BGJ720923 BQC720922:BQF720923 BZY720922:CAB720923 CJU720922:CJX720923 CTQ720922:CTT720923 DDM720922:DDP720923 DNI720922:DNL720923 DXE720922:DXH720923 EHA720922:EHD720923 EQW720922:EQZ720923 FAS720922:FAV720923 FKO720922:FKR720923 FUK720922:FUN720923 GEG720922:GEJ720923 GOC720922:GOF720923 GXY720922:GYB720923 HHU720922:HHX720923 HRQ720922:HRT720923 IBM720922:IBP720923 ILI720922:ILL720923 IVE720922:IVH720923 JFA720922:JFD720923 JOW720922:JOZ720923 JYS720922:JYV720923 KIO720922:KIR720923 KSK720922:KSN720923 LCG720922:LCJ720923 LMC720922:LMF720923 LVY720922:LWB720923 MFU720922:MFX720923 MPQ720922:MPT720923 MZM720922:MZP720923 NJI720922:NJL720923 NTE720922:NTH720923 ODA720922:ODD720923 OMW720922:OMZ720923 OWS720922:OWV720923 PGO720922:PGR720923 PQK720922:PQN720923 QAG720922:QAJ720923 QKC720922:QKF720923 QTY720922:QUB720923 RDU720922:RDX720923 RNQ720922:RNT720923 RXM720922:RXP720923 SHI720922:SHL720923 SRE720922:SRH720923 TBA720922:TBD720923 TKW720922:TKZ720923 TUS720922:TUV720923 UEO720922:UER720923 UOK720922:UON720923 UYG720922:UYJ720923 VIC720922:VIF720923 VRY720922:VSB720923 WBU720922:WBX720923 WLQ720922:WLT720923 WVM720922:WVP720923 E786458:H786459 JA786458:JD786459 SW786458:SZ786459 ACS786458:ACV786459 AMO786458:AMR786459 AWK786458:AWN786459 BGG786458:BGJ786459 BQC786458:BQF786459 BZY786458:CAB786459 CJU786458:CJX786459 CTQ786458:CTT786459 DDM786458:DDP786459 DNI786458:DNL786459 DXE786458:DXH786459 EHA786458:EHD786459 EQW786458:EQZ786459 FAS786458:FAV786459 FKO786458:FKR786459 FUK786458:FUN786459 GEG786458:GEJ786459 GOC786458:GOF786459 GXY786458:GYB786459 HHU786458:HHX786459 HRQ786458:HRT786459 IBM786458:IBP786459 ILI786458:ILL786459 IVE786458:IVH786459 JFA786458:JFD786459 JOW786458:JOZ786459 JYS786458:JYV786459 KIO786458:KIR786459 KSK786458:KSN786459 LCG786458:LCJ786459 LMC786458:LMF786459 LVY786458:LWB786459 MFU786458:MFX786459 MPQ786458:MPT786459 MZM786458:MZP786459 NJI786458:NJL786459 NTE786458:NTH786459 ODA786458:ODD786459 OMW786458:OMZ786459 OWS786458:OWV786459 PGO786458:PGR786459 PQK786458:PQN786459 QAG786458:QAJ786459 QKC786458:QKF786459 QTY786458:QUB786459 RDU786458:RDX786459 RNQ786458:RNT786459 RXM786458:RXP786459 SHI786458:SHL786459 SRE786458:SRH786459 TBA786458:TBD786459 TKW786458:TKZ786459 TUS786458:TUV786459 UEO786458:UER786459 UOK786458:UON786459 UYG786458:UYJ786459 VIC786458:VIF786459 VRY786458:VSB786459 WBU786458:WBX786459 WLQ786458:WLT786459 WVM786458:WVP786459 E851994:H851995 JA851994:JD851995 SW851994:SZ851995 ACS851994:ACV851995 AMO851994:AMR851995 AWK851994:AWN851995 BGG851994:BGJ851995 BQC851994:BQF851995 BZY851994:CAB851995 CJU851994:CJX851995 CTQ851994:CTT851995 DDM851994:DDP851995 DNI851994:DNL851995 DXE851994:DXH851995 EHA851994:EHD851995 EQW851994:EQZ851995 FAS851994:FAV851995 FKO851994:FKR851995 FUK851994:FUN851995 GEG851994:GEJ851995 GOC851994:GOF851995 GXY851994:GYB851995 HHU851994:HHX851995 HRQ851994:HRT851995 IBM851994:IBP851995 ILI851994:ILL851995 IVE851994:IVH851995 JFA851994:JFD851995 JOW851994:JOZ851995 JYS851994:JYV851995 KIO851994:KIR851995 KSK851994:KSN851995 LCG851994:LCJ851995 LMC851994:LMF851995 LVY851994:LWB851995 MFU851994:MFX851995 MPQ851994:MPT851995 MZM851994:MZP851995 NJI851994:NJL851995 NTE851994:NTH851995 ODA851994:ODD851995 OMW851994:OMZ851995 OWS851994:OWV851995 PGO851994:PGR851995 PQK851994:PQN851995 QAG851994:QAJ851995 QKC851994:QKF851995 QTY851994:QUB851995 RDU851994:RDX851995 RNQ851994:RNT851995 RXM851994:RXP851995 SHI851994:SHL851995 SRE851994:SRH851995 TBA851994:TBD851995 TKW851994:TKZ851995 TUS851994:TUV851995 UEO851994:UER851995 UOK851994:UON851995 UYG851994:UYJ851995 VIC851994:VIF851995 VRY851994:VSB851995 WBU851994:WBX851995 WLQ851994:WLT851995 WVM851994:WVP851995 E917530:H917531 JA917530:JD917531 SW917530:SZ917531 ACS917530:ACV917531 AMO917530:AMR917531 AWK917530:AWN917531 BGG917530:BGJ917531 BQC917530:BQF917531 BZY917530:CAB917531 CJU917530:CJX917531 CTQ917530:CTT917531 DDM917530:DDP917531 DNI917530:DNL917531 DXE917530:DXH917531 EHA917530:EHD917531 EQW917530:EQZ917531 FAS917530:FAV917531 FKO917530:FKR917531 FUK917530:FUN917531 GEG917530:GEJ917531 GOC917530:GOF917531 GXY917530:GYB917531 HHU917530:HHX917531 HRQ917530:HRT917531 IBM917530:IBP917531 ILI917530:ILL917531 IVE917530:IVH917531 JFA917530:JFD917531 JOW917530:JOZ917531 JYS917530:JYV917531 KIO917530:KIR917531 KSK917530:KSN917531 LCG917530:LCJ917531 LMC917530:LMF917531 LVY917530:LWB917531 MFU917530:MFX917531 MPQ917530:MPT917531 MZM917530:MZP917531 NJI917530:NJL917531 NTE917530:NTH917531 ODA917530:ODD917531 OMW917530:OMZ917531 OWS917530:OWV917531 PGO917530:PGR917531 PQK917530:PQN917531 QAG917530:QAJ917531 QKC917530:QKF917531 QTY917530:QUB917531 RDU917530:RDX917531 RNQ917530:RNT917531 RXM917530:RXP917531 SHI917530:SHL917531 SRE917530:SRH917531 TBA917530:TBD917531 TKW917530:TKZ917531 TUS917530:TUV917531 UEO917530:UER917531 UOK917530:UON917531 UYG917530:UYJ917531 VIC917530:VIF917531 VRY917530:VSB917531 WBU917530:WBX917531 WLQ917530:WLT917531 WVM917530:WVP917531 E983066:H983067 JA983066:JD983067 SW983066:SZ983067 ACS983066:ACV983067 AMO983066:AMR983067 AWK983066:AWN983067 BGG983066:BGJ983067 BQC983066:BQF983067 BZY983066:CAB983067 CJU983066:CJX983067 CTQ983066:CTT983067 DDM983066:DDP983067 DNI983066:DNL983067 DXE983066:DXH983067 EHA983066:EHD983067 EQW983066:EQZ983067 FAS983066:FAV983067 FKO983066:FKR983067 FUK983066:FUN983067 GEG983066:GEJ983067 GOC983066:GOF983067 GXY983066:GYB983067 HHU983066:HHX983067 HRQ983066:HRT983067 IBM983066:IBP983067 ILI983066:ILL983067 IVE983066:IVH983067 JFA983066:JFD983067 JOW983066:JOZ983067 JYS983066:JYV983067 KIO983066:KIR983067 KSK983066:KSN983067 LCG983066:LCJ983067 LMC983066:LMF983067 LVY983066:LWB983067 MFU983066:MFX983067 MPQ983066:MPT983067 MZM983066:MZP983067 NJI983066:NJL983067 NTE983066:NTH983067 ODA983066:ODD983067 OMW983066:OMZ983067 OWS983066:OWV983067 PGO983066:PGR983067 PQK983066:PQN983067 QAG983066:QAJ983067 QKC983066:QKF983067 QTY983066:QUB983067 RDU983066:RDX983067 RNQ983066:RNT983067 RXM983066:RXP983067 SHI983066:SHL983067 SRE983066:SRH983067 TBA983066:TBD983067 TKW983066:TKZ983067 TUS983066:TUV983067 UEO983066:UER983067 UOK983066:UON983067 UYG983066:UYJ983067 VIC983066:VIF983067 VRY983066:VSB983067 WBU983066:WBX983067 WLQ983066:WLT983067 WVM983066:WVP983067 L3:M17 JH3:JI17 TD3:TE17 ACZ3:ADA17 AMV3:AMW17 AWR3:AWS17 BGN3:BGO17 BQJ3:BQK17 CAF3:CAG17 CKB3:CKC17 CTX3:CTY17 DDT3:DDU17 DNP3:DNQ17 DXL3:DXM17 EHH3:EHI17 ERD3:ERE17 FAZ3:FBA17 FKV3:FKW17 FUR3:FUS17 GEN3:GEO17 GOJ3:GOK17 GYF3:GYG17 HIB3:HIC17 HRX3:HRY17 IBT3:IBU17 ILP3:ILQ17 IVL3:IVM17 JFH3:JFI17 JPD3:JPE17 JYZ3:JZA17 KIV3:KIW17 KSR3:KSS17 LCN3:LCO17 LMJ3:LMK17 LWF3:LWG17 MGB3:MGC17 MPX3:MPY17 MZT3:MZU17 NJP3:NJQ17 NTL3:NTM17 ODH3:ODI17 OND3:ONE17 OWZ3:OXA17 PGV3:PGW17 PQR3:PQS17 QAN3:QAO17 QKJ3:QKK17 QUF3:QUG17 REB3:REC17 RNX3:RNY17 RXT3:RXU17 SHP3:SHQ17 SRL3:SRM17 TBH3:TBI17 TLD3:TLE17 TUZ3:TVA17 UEV3:UEW17 UOR3:UOS17 UYN3:UYO17 VIJ3:VIK17 VSF3:VSG17 WCB3:WCC17 WLX3:WLY17 WVT3:WVU17" xr:uid="{535E5F9B-FBE0-4E9A-8D1A-C40E5C6767A1}"/>
  </dataValidations>
  <printOptions horizontalCentered="1"/>
  <pageMargins left="0" right="0" top="1.4173228346456694" bottom="0.43307086614173229" header="0.98425196850393704" footer="0.11811023622047245"/>
  <pageSetup paperSize="9" scale="90" fitToHeight="0" orientation="landscape" horizontalDpi="300" verticalDpi="400" r:id="rId1"/>
  <headerFooter differentFirst="1" alignWithMargins="0">
    <oddFooter>&amp;C&amp;"ＭＳ Ｐ明朝,標準"&amp;10&amp;P&amp;R&amp;"ＭＳ Ｐ明朝,標準"&amp;10ver.4.2</oddFooter>
    <firstHeader>&amp;C債　権　者　一　覧　表</firstHeader>
    <firstFooter>&amp;C&amp;A&amp;Rver.4.2</firstFooter>
  </headerFooter>
  <rowBreaks count="1" manualBreakCount="1">
    <brk id="1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DataSheet</vt:lpstr>
      <vt:lpstr>債権者一覧表（破産用）</vt:lpstr>
      <vt:lpstr>'債権者一覧表（破産用）'!Print_Titles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Katsura Yamanouchi</dc:creator>
  <cp:lastModifiedBy>katsu yama</cp:lastModifiedBy>
  <cp:lastPrinted>2026-03-03T05:20:49Z</cp:lastPrinted>
  <dcterms:created xsi:type="dcterms:W3CDTF">2003-05-31T09:26:13Z</dcterms:created>
  <dcterms:modified xsi:type="dcterms:W3CDTF">2026-03-03T06:51:09Z</dcterms:modified>
</cp:coreProperties>
</file>