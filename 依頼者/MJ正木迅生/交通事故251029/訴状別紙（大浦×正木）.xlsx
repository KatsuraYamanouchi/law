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X:\law\依頼者\MJ正木迅生\交通事故251029\"/>
    </mc:Choice>
  </mc:AlternateContent>
  <xr:revisionPtr revIDLastSave="0" documentId="13_ncr:1_{5DB7ABA1-E60A-4DCD-A6F5-354601BC87D7}" xr6:coauthVersionLast="47" xr6:coauthVersionMax="47" xr10:uidLastSave="{00000000-0000-0000-0000-000000000000}"/>
  <bookViews>
    <workbookView xWindow="62550" yWindow="3135" windowWidth="32460" windowHeight="18465" tabRatio="854" activeTab="1" xr2:uid="{00000000-000D-0000-FFFF-FFFF00000000}"/>
  </bookViews>
  <sheets>
    <sheet name="別紙1" sheetId="17" r:id="rId1"/>
    <sheet name="別紙2" sheetId="25" r:id="rId2"/>
  </sheets>
  <definedNames>
    <definedName name="_xlnm.Print_Area" localSheetId="0">別紙1!$B$1:$L$37</definedName>
    <definedName name="_xlnm.Print_Area" localSheetId="1">別紙2!$B$1:$H$38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5" l="1"/>
  <c r="G32" i="25"/>
  <c r="G33" i="25"/>
  <c r="G34" i="25"/>
  <c r="G35" i="25"/>
  <c r="G30" i="25"/>
  <c r="G28" i="25"/>
  <c r="G21" i="25" l="1"/>
  <c r="G20" i="25"/>
  <c r="G16" i="25"/>
  <c r="G15" i="25"/>
  <c r="G14" i="25"/>
  <c r="G17" i="25"/>
  <c r="G18" i="25"/>
  <c r="G13" i="25"/>
  <c r="G12" i="25"/>
  <c r="G11" i="25"/>
  <c r="G10" i="25"/>
  <c r="C13" i="25"/>
  <c r="D15" i="25"/>
  <c r="C15" i="25" s="1"/>
  <c r="C18" i="25" l="1"/>
  <c r="C23" i="25"/>
  <c r="C25" i="25"/>
  <c r="C24" i="25"/>
  <c r="C19" i="25"/>
  <c r="C17" i="25"/>
  <c r="D10" i="25"/>
  <c r="D11" i="25"/>
  <c r="I33" i="17"/>
  <c r="I32" i="17"/>
  <c r="I30" i="17"/>
  <c r="I31" i="17"/>
  <c r="I35" i="17"/>
  <c r="B3" i="25"/>
  <c r="H24" i="17" l="1"/>
  <c r="C10" i="25" l="1"/>
  <c r="C26" i="25" s="1"/>
  <c r="B4" i="25"/>
  <c r="B2" i="25"/>
  <c r="H2" i="25" l="1"/>
  <c r="I26" i="25" l="1"/>
  <c r="I28" i="25" s="1"/>
  <c r="I36" i="25" s="1"/>
  <c r="I38" i="25" s="1"/>
  <c r="G26" i="25" l="1"/>
  <c r="G36" i="25" s="1"/>
  <c r="G37" i="25" l="1"/>
  <c r="G38" i="25" s="1"/>
  <c r="I28" i="17"/>
  <c r="L2" i="17" l="1"/>
  <c r="J2" i="25" l="1"/>
  <c r="C28" i="25" l="1"/>
  <c r="D31" i="25" l="1"/>
  <c r="C30" i="25" s="1"/>
  <c r="D33" i="25" s="1"/>
  <c r="C32" i="25" s="1"/>
  <c r="D35" i="25" s="1"/>
  <c r="C34" i="25" s="1"/>
  <c r="I29" i="17"/>
  <c r="H37" i="17"/>
  <c r="I37" i="17"/>
  <c r="J37" i="17"/>
  <c r="G37" i="17"/>
  <c r="C36" i="25" l="1"/>
  <c r="C37" i="25" s="1"/>
  <c r="C38" i="25" s="1"/>
</calcChain>
</file>

<file path=xl/sharedStrings.xml><?xml version="1.0" encoding="utf-8"?>
<sst xmlns="http://schemas.openxmlformats.org/spreadsheetml/2006/main" count="176" uniqueCount="131">
  <si>
    <t>最終更新日：</t>
    <rPh sb="0" eb="5">
      <t>サイシュウコウシンビ</t>
    </rPh>
    <phoneticPr fontId="2"/>
  </si>
  <si>
    <t>最終更新者：</t>
    <rPh sb="0" eb="2">
      <t>サイシュウ</t>
    </rPh>
    <rPh sb="2" eb="4">
      <t>コウシン</t>
    </rPh>
    <rPh sb="4" eb="5">
      <t>シャ</t>
    </rPh>
    <phoneticPr fontId="2"/>
  </si>
  <si>
    <t>原告　大浦榮子</t>
    <rPh sb="0" eb="2">
      <t>ゲンコク</t>
    </rPh>
    <rPh sb="3" eb="5">
      <t>オオウラ</t>
    </rPh>
    <rPh sb="5" eb="7">
      <t>エイコ</t>
    </rPh>
    <phoneticPr fontId="2"/>
  </si>
  <si>
    <t>被告　正木迅生</t>
    <rPh sb="0" eb="2">
      <t>ヒコク</t>
    </rPh>
    <rPh sb="3" eb="5">
      <t>マサキ</t>
    </rPh>
    <rPh sb="5" eb="6">
      <t>ジン</t>
    </rPh>
    <rPh sb="6" eb="7">
      <t>セイ</t>
    </rPh>
    <phoneticPr fontId="2"/>
  </si>
  <si>
    <t>事案の概要</t>
    <rPh sb="0" eb="2">
      <t>ジアン</t>
    </rPh>
    <rPh sb="3" eb="5">
      <t>ガイヨウ</t>
    </rPh>
    <phoneticPr fontId="2"/>
  </si>
  <si>
    <t>⑴　事故の発生</t>
    <rPh sb="2" eb="4">
      <t>ジコ</t>
    </rPh>
    <rPh sb="5" eb="7">
      <t>ハッセイ</t>
    </rPh>
    <phoneticPr fontId="2"/>
  </si>
  <si>
    <t>項目</t>
    <rPh sb="0" eb="2">
      <t>コウモク</t>
    </rPh>
    <phoneticPr fontId="2"/>
  </si>
  <si>
    <t>原告側の主張</t>
    <rPh sb="0" eb="2">
      <t>ゲンコク</t>
    </rPh>
    <rPh sb="2" eb="3">
      <t>ガワ</t>
    </rPh>
    <rPh sb="4" eb="6">
      <t>シュチョウ</t>
    </rPh>
    <phoneticPr fontId="2"/>
  </si>
  <si>
    <t>証拠</t>
    <rPh sb="0" eb="2">
      <t>ショウコ</t>
    </rPh>
    <phoneticPr fontId="2"/>
  </si>
  <si>
    <t>被告側の主張</t>
    <rPh sb="0" eb="2">
      <t>ヒコク</t>
    </rPh>
    <rPh sb="2" eb="3">
      <t>ガワ</t>
    </rPh>
    <rPh sb="4" eb="6">
      <t>シュチョウ</t>
    </rPh>
    <phoneticPr fontId="2"/>
  </si>
  <si>
    <t xml:space="preserve">
</t>
    <phoneticPr fontId="2"/>
  </si>
  <si>
    <t>日時</t>
    <phoneticPr fontId="2"/>
  </si>
  <si>
    <t>頃</t>
    <rPh sb="0" eb="1">
      <t>コロ</t>
    </rPh>
    <phoneticPr fontId="2"/>
  </si>
  <si>
    <t>甲１</t>
    <rPh sb="0" eb="1">
      <t>コウ</t>
    </rPh>
    <phoneticPr fontId="2"/>
  </si>
  <si>
    <t>場所</t>
    <rPh sb="0" eb="2">
      <t>バショ</t>
    </rPh>
    <phoneticPr fontId="2"/>
  </si>
  <si>
    <t>埼玉県さいたま市緑区宮本一丁目19番地７</t>
    <rPh sb="0" eb="3">
      <t>サイタマケン</t>
    </rPh>
    <rPh sb="7" eb="8">
      <t>シ</t>
    </rPh>
    <rPh sb="8" eb="10">
      <t>ミドリク</t>
    </rPh>
    <rPh sb="10" eb="12">
      <t>ミヤモト</t>
    </rPh>
    <rPh sb="12" eb="15">
      <t>イッチョウメ</t>
    </rPh>
    <rPh sb="17" eb="19">
      <t>バンチ</t>
    </rPh>
    <phoneticPr fontId="2"/>
  </si>
  <si>
    <t>関係車両等</t>
    <rPh sb="0" eb="2">
      <t>カンケイ</t>
    </rPh>
    <rPh sb="2" eb="4">
      <t>シャリョウ</t>
    </rPh>
    <rPh sb="4" eb="5">
      <t>トウ</t>
    </rPh>
    <phoneticPr fontId="2"/>
  </si>
  <si>
    <t>原告</t>
    <rPh sb="0" eb="2">
      <t>ゲンコク</t>
    </rPh>
    <phoneticPr fontId="2"/>
  </si>
  <si>
    <t>歩行者</t>
    <rPh sb="0" eb="3">
      <t>ホコウシャ</t>
    </rPh>
    <phoneticPr fontId="2"/>
  </si>
  <si>
    <t>被告車</t>
    <rPh sb="0" eb="2">
      <t>ヒコク</t>
    </rPh>
    <rPh sb="2" eb="3">
      <t>シャ</t>
    </rPh>
    <phoneticPr fontId="2"/>
  </si>
  <si>
    <t>自家用普通乗用自動車</t>
    <rPh sb="0" eb="10">
      <t>ジカヨウフツウジョウヨウジドウシャ</t>
    </rPh>
    <phoneticPr fontId="2"/>
  </si>
  <si>
    <t>登録番号：</t>
    <phoneticPr fontId="2"/>
  </si>
  <si>
    <t>なにわ３０１ら２４７７</t>
    <phoneticPr fontId="2"/>
  </si>
  <si>
    <t>運転者：</t>
    <rPh sb="0" eb="2">
      <t>ウンテン</t>
    </rPh>
    <rPh sb="2" eb="3">
      <t>シャ</t>
    </rPh>
    <phoneticPr fontId="2"/>
  </si>
  <si>
    <t>被告</t>
    <rPh sb="0" eb="2">
      <t>ヒコク</t>
    </rPh>
    <phoneticPr fontId="2"/>
  </si>
  <si>
    <t>所有者：</t>
    <rPh sb="0" eb="3">
      <t>ショユウシャ</t>
    </rPh>
    <phoneticPr fontId="2"/>
  </si>
  <si>
    <t>不明</t>
    <rPh sb="0" eb="2">
      <t>フメイ</t>
    </rPh>
    <phoneticPr fontId="2"/>
  </si>
  <si>
    <t>態様</t>
    <rPh sb="0" eb="2">
      <t>タイヨウ</t>
    </rPh>
    <phoneticPr fontId="2"/>
  </si>
  <si>
    <t>道路横断中の原告に、被告車両が衝突した。</t>
    <rPh sb="0" eb="2">
      <t>ドウロ</t>
    </rPh>
    <rPh sb="2" eb="5">
      <t>オウダンチュウ</t>
    </rPh>
    <rPh sb="6" eb="8">
      <t>ゲンコク</t>
    </rPh>
    <rPh sb="10" eb="12">
      <t>ヒコク</t>
    </rPh>
    <rPh sb="12" eb="14">
      <t>シャリョウ</t>
    </rPh>
    <rPh sb="15" eb="17">
      <t>ショウトツ</t>
    </rPh>
    <phoneticPr fontId="2"/>
  </si>
  <si>
    <t>甲２</t>
    <rPh sb="0" eb="1">
      <t>コウ</t>
    </rPh>
    <phoneticPr fontId="2"/>
  </si>
  <si>
    <t>1
2
3
4
5</t>
    <phoneticPr fontId="2"/>
  </si>
  <si>
    <t>⑵　責任原因</t>
    <phoneticPr fontId="2"/>
  </si>
  <si>
    <t>民法７０９条（道路交通法７０条（前方注視義務）違反）</t>
    <rPh sb="0" eb="2">
      <t>ミンポウ</t>
    </rPh>
    <rPh sb="5" eb="6">
      <t>ジョウ</t>
    </rPh>
    <rPh sb="7" eb="12">
      <t>ドウロコウツウホウ</t>
    </rPh>
    <rPh sb="14" eb="15">
      <t>ジョウ</t>
    </rPh>
    <rPh sb="16" eb="18">
      <t>ゼンポウ</t>
    </rPh>
    <rPh sb="18" eb="20">
      <t>チュウシ</t>
    </rPh>
    <rPh sb="20" eb="22">
      <t>ギム</t>
    </rPh>
    <rPh sb="23" eb="25">
      <t>イハン</t>
    </rPh>
    <phoneticPr fontId="2"/>
  </si>
  <si>
    <t>自賠法３条</t>
    <rPh sb="0" eb="3">
      <t>ジバイホウ</t>
    </rPh>
    <rPh sb="4" eb="5">
      <t>ジョウ</t>
    </rPh>
    <phoneticPr fontId="2"/>
  </si>
  <si>
    <t>⑶　受傷内容等</t>
    <rPh sb="2" eb="4">
      <t>ジュショウ</t>
    </rPh>
    <rPh sb="4" eb="6">
      <t>ナイヨウ</t>
    </rPh>
    <rPh sb="6" eb="7">
      <t>トウ</t>
    </rPh>
    <phoneticPr fontId="2"/>
  </si>
  <si>
    <t>受傷者</t>
    <rPh sb="0" eb="3">
      <t>ジュショウシャ</t>
    </rPh>
    <phoneticPr fontId="2"/>
  </si>
  <si>
    <t>生年月日：</t>
    <rPh sb="0" eb="2">
      <t>セイネン</t>
    </rPh>
    <rPh sb="2" eb="4">
      <t>ガッピ</t>
    </rPh>
    <phoneticPr fontId="2"/>
  </si>
  <si>
    <t>職業：</t>
    <rPh sb="0" eb="2">
      <t>ショクギョウ</t>
    </rPh>
    <phoneticPr fontId="2"/>
  </si>
  <si>
    <t>家事従事者</t>
    <rPh sb="0" eb="2">
      <t>カジ</t>
    </rPh>
    <rPh sb="2" eb="5">
      <t>ジュウジシャ</t>
    </rPh>
    <phoneticPr fontId="2"/>
  </si>
  <si>
    <t>甲１５</t>
    <rPh sb="0" eb="1">
      <t>コウ</t>
    </rPh>
    <phoneticPr fontId="2"/>
  </si>
  <si>
    <t>傷病名</t>
    <rPh sb="0" eb="2">
      <t>ショウビョウ</t>
    </rPh>
    <rPh sb="2" eb="3">
      <t>メイ</t>
    </rPh>
    <phoneticPr fontId="2"/>
  </si>
  <si>
    <t>肝損傷、脾損傷、左多発肋骨骨折、左血気胸、左橈骨尺骨骨折、左脛骨骨幹部骨折、左腓骨骨折、左足趾骨折、左足部骨折、左足背剥皮創、左大腿筋肉内血腫、多発性外傷、肺動脈血栓塞栓症、左胸水貯留等</t>
    <rPh sb="0" eb="1">
      <t>キモ</t>
    </rPh>
    <rPh sb="1" eb="3">
      <t>ソンショウ</t>
    </rPh>
    <rPh sb="4" eb="5">
      <t>ヒ</t>
    </rPh>
    <rPh sb="5" eb="7">
      <t>ソンショウ</t>
    </rPh>
    <rPh sb="8" eb="9">
      <t>ヒダリ</t>
    </rPh>
    <rPh sb="9" eb="11">
      <t>タハツ</t>
    </rPh>
    <rPh sb="11" eb="13">
      <t>ロッコツ</t>
    </rPh>
    <rPh sb="13" eb="15">
      <t>コッセツ</t>
    </rPh>
    <rPh sb="16" eb="17">
      <t>ヒダリ</t>
    </rPh>
    <rPh sb="17" eb="20">
      <t>ケッキキョウ</t>
    </rPh>
    <rPh sb="21" eb="22">
      <t>ヒダリ</t>
    </rPh>
    <rPh sb="22" eb="24">
      <t>トウコツ</t>
    </rPh>
    <rPh sb="24" eb="26">
      <t>シャッコツ</t>
    </rPh>
    <rPh sb="26" eb="28">
      <t>コッセツ</t>
    </rPh>
    <rPh sb="29" eb="30">
      <t>ヒダリ</t>
    </rPh>
    <rPh sb="30" eb="32">
      <t>ケイコツ</t>
    </rPh>
    <rPh sb="32" eb="33">
      <t>コツ</t>
    </rPh>
    <rPh sb="33" eb="35">
      <t>カンブ</t>
    </rPh>
    <rPh sb="35" eb="37">
      <t>コッセツ</t>
    </rPh>
    <rPh sb="38" eb="39">
      <t>ヒダリ</t>
    </rPh>
    <rPh sb="39" eb="41">
      <t>ヒコツ</t>
    </rPh>
    <rPh sb="41" eb="43">
      <t>コッセツ</t>
    </rPh>
    <rPh sb="44" eb="45">
      <t>ヒダリ</t>
    </rPh>
    <rPh sb="45" eb="47">
      <t>ソクシ</t>
    </rPh>
    <rPh sb="47" eb="49">
      <t>コッセツ</t>
    </rPh>
    <rPh sb="50" eb="52">
      <t>ヒダリアシ</t>
    </rPh>
    <rPh sb="52" eb="53">
      <t>ブ</t>
    </rPh>
    <rPh sb="53" eb="55">
      <t>コッセツ</t>
    </rPh>
    <rPh sb="56" eb="58">
      <t>ヒダリアシ</t>
    </rPh>
    <rPh sb="58" eb="59">
      <t>セ</t>
    </rPh>
    <rPh sb="59" eb="61">
      <t>ハクヒ</t>
    </rPh>
    <rPh sb="61" eb="62">
      <t>ソウ</t>
    </rPh>
    <rPh sb="63" eb="64">
      <t>ヒダリ</t>
    </rPh>
    <rPh sb="64" eb="66">
      <t>ダイタイ</t>
    </rPh>
    <rPh sb="66" eb="68">
      <t>キンニク</t>
    </rPh>
    <rPh sb="68" eb="69">
      <t>ナイ</t>
    </rPh>
    <rPh sb="69" eb="71">
      <t>ケッシュ</t>
    </rPh>
    <rPh sb="72" eb="75">
      <t>タハツセイ</t>
    </rPh>
    <rPh sb="75" eb="77">
      <t>ガイショウ</t>
    </rPh>
    <rPh sb="78" eb="81">
      <t>ハイドウミャク</t>
    </rPh>
    <rPh sb="81" eb="83">
      <t>ケッセン</t>
    </rPh>
    <rPh sb="83" eb="86">
      <t>ソクセンショウ</t>
    </rPh>
    <rPh sb="87" eb="88">
      <t>ヒダリ</t>
    </rPh>
    <rPh sb="88" eb="90">
      <t>キョウスイ</t>
    </rPh>
    <rPh sb="90" eb="92">
      <t>チョリュウ</t>
    </rPh>
    <rPh sb="92" eb="93">
      <t>トウ</t>
    </rPh>
    <phoneticPr fontId="2"/>
  </si>
  <si>
    <t>甲３</t>
    <rPh sb="0" eb="1">
      <t>コウ</t>
    </rPh>
    <phoneticPr fontId="2"/>
  </si>
  <si>
    <t>治療経過</t>
    <rPh sb="0" eb="2">
      <t>チリョウ</t>
    </rPh>
    <rPh sb="2" eb="4">
      <t>ケイカ</t>
    </rPh>
    <phoneticPr fontId="2"/>
  </si>
  <si>
    <t>医療機関等</t>
    <rPh sb="0" eb="2">
      <t>イリョウ</t>
    </rPh>
    <rPh sb="2" eb="4">
      <t>キカン</t>
    </rPh>
    <rPh sb="4" eb="5">
      <t>トウ</t>
    </rPh>
    <phoneticPr fontId="2"/>
  </si>
  <si>
    <t>入院/通院</t>
    <rPh sb="0" eb="2">
      <t>ニュウイン</t>
    </rPh>
    <rPh sb="3" eb="5">
      <t>ツウイン</t>
    </rPh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</si>
  <si>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</si>
  <si>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</si>
  <si>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入院</t>
    <rPh sb="0" eb="2">
      <t>ニュウイン</t>
    </rPh>
    <phoneticPr fontId="2"/>
  </si>
  <si>
    <t>実通院</t>
    <rPh sb="0" eb="1">
      <t>ジツ</t>
    </rPh>
    <rPh sb="1" eb="3">
      <t>ツウイン</t>
    </rPh>
    <phoneticPr fontId="2"/>
  </si>
  <si>
    <t>さいたま赤十字病院</t>
    <rPh sb="4" eb="7">
      <t>セキジュウジ</t>
    </rPh>
    <rPh sb="7" eb="9">
      <t>ビョウイン</t>
    </rPh>
    <phoneticPr fontId="2"/>
  </si>
  <si>
    <t>甲３、甲４</t>
    <rPh sb="0" eb="1">
      <t>コウ</t>
    </rPh>
    <rPh sb="3" eb="4">
      <t>コウ</t>
    </rPh>
    <phoneticPr fontId="2"/>
  </si>
  <si>
    <t>大宮共立病院</t>
    <rPh sb="0" eb="2">
      <t>オオミヤ</t>
    </rPh>
    <rPh sb="2" eb="4">
      <t>キョウリツ</t>
    </rPh>
    <rPh sb="4" eb="6">
      <t>ビョウイン</t>
    </rPh>
    <phoneticPr fontId="2"/>
  </si>
  <si>
    <t>甲５、甲６</t>
    <rPh sb="0" eb="1">
      <t>コウ</t>
    </rPh>
    <rPh sb="3" eb="4">
      <t>コウ</t>
    </rPh>
    <phoneticPr fontId="2"/>
  </si>
  <si>
    <t>通院</t>
    <rPh sb="0" eb="2">
      <t>ツウイン</t>
    </rPh>
    <phoneticPr fontId="2"/>
  </si>
  <si>
    <t>高齢者ケアセンターのぞみ</t>
    <rPh sb="0" eb="3">
      <t>コウレイシャ</t>
    </rPh>
    <phoneticPr fontId="2"/>
  </si>
  <si>
    <t>甲７</t>
    <rPh sb="0" eb="1">
      <t>コウ</t>
    </rPh>
    <phoneticPr fontId="2"/>
  </si>
  <si>
    <t>（通院日重複）</t>
    <rPh sb="1" eb="6">
      <t>ツウインビチョウフク</t>
    </rPh>
    <phoneticPr fontId="2"/>
  </si>
  <si>
    <t>通算</t>
    <rPh sb="0" eb="2">
      <t>ツウサン</t>
    </rPh>
    <phoneticPr fontId="2"/>
  </si>
  <si>
    <t>事故日：</t>
    <rPh sb="0" eb="2">
      <t>ジコ</t>
    </rPh>
    <rPh sb="2" eb="3">
      <t>ビ</t>
    </rPh>
    <phoneticPr fontId="2"/>
  </si>
  <si>
    <t>症状固定日：</t>
    <rPh sb="0" eb="2">
      <t>ショウジョウ</t>
    </rPh>
    <rPh sb="2" eb="4">
      <t>コテイ</t>
    </rPh>
    <rPh sb="4" eb="5">
      <t>ビ</t>
    </rPh>
    <phoneticPr fontId="2"/>
  </si>
  <si>
    <t>損害額一覧表</t>
    <rPh sb="0" eb="2">
      <t>ソンガイ</t>
    </rPh>
    <rPh sb="2" eb="3">
      <t>ガク</t>
    </rPh>
    <rPh sb="3" eb="6">
      <t>イチランヒョウ</t>
    </rPh>
    <phoneticPr fontId="2"/>
  </si>
  <si>
    <t>人身損害</t>
    <rPh sb="0" eb="2">
      <t>ジンシン</t>
    </rPh>
    <rPh sb="2" eb="4">
      <t>ソンガイ</t>
    </rPh>
    <phoneticPr fontId="2"/>
  </si>
  <si>
    <t>原告側
主張額</t>
    <rPh sb="0" eb="2">
      <t>ゲンコク</t>
    </rPh>
    <rPh sb="2" eb="3">
      <t>ガワ</t>
    </rPh>
    <rPh sb="4" eb="6">
      <t>シュチョウ</t>
    </rPh>
    <rPh sb="6" eb="7">
      <t>ガク</t>
    </rPh>
    <phoneticPr fontId="2"/>
  </si>
  <si>
    <t>内訳・理由等</t>
    <rPh sb="0" eb="2">
      <t>ウチワケ</t>
    </rPh>
    <rPh sb="3" eb="5">
      <t>リユウ</t>
    </rPh>
    <rPh sb="5" eb="6">
      <t>トウ</t>
    </rPh>
    <phoneticPr fontId="2"/>
  </si>
  <si>
    <t>書証</t>
    <rPh sb="0" eb="2">
      <t>ショショウ</t>
    </rPh>
    <phoneticPr fontId="2"/>
  </si>
  <si>
    <t>被告側
主張額</t>
    <rPh sb="0" eb="2">
      <t>ヒコク</t>
    </rPh>
    <rPh sb="2" eb="3">
      <t>ガワ</t>
    </rPh>
    <rPh sb="4" eb="6">
      <t>シュチョウ</t>
    </rPh>
    <rPh sb="6" eb="7">
      <t>ガク</t>
    </rPh>
    <phoneticPr fontId="2"/>
  </si>
  <si>
    <t>理由等</t>
    <rPh sb="0" eb="2">
      <t>リユウ</t>
    </rPh>
    <rPh sb="2" eb="3">
      <t>トウ</t>
    </rPh>
    <phoneticPr fontId="2"/>
  </si>
  <si>
    <t>裁判所
認定額</t>
    <rPh sb="0" eb="3">
      <t>サイバンショ</t>
    </rPh>
    <rPh sb="4" eb="6">
      <t>ニンテイ</t>
    </rPh>
    <rPh sb="6" eb="7">
      <t>ガク</t>
    </rPh>
    <phoneticPr fontId="2"/>
  </si>
  <si>
    <t>治療費</t>
    <rPh sb="0" eb="2">
      <t>チリョウ</t>
    </rPh>
    <rPh sb="2" eb="3">
      <t>ヒ</t>
    </rPh>
    <phoneticPr fontId="12"/>
  </si>
  <si>
    <t>甲４</t>
    <rPh sb="0" eb="1">
      <t>コウ</t>
    </rPh>
    <phoneticPr fontId="2"/>
  </si>
  <si>
    <t>甲６</t>
    <rPh sb="0" eb="1">
      <t>コウ</t>
    </rPh>
    <phoneticPr fontId="2"/>
  </si>
  <si>
    <t>文書料</t>
    <rPh sb="0" eb="2">
      <t>ブンショ</t>
    </rPh>
    <rPh sb="2" eb="3">
      <t>リョウ</t>
    </rPh>
    <phoneticPr fontId="2"/>
  </si>
  <si>
    <t>警察用診断書・後遺障害診断書・印鑑登録証明書・住民票の写し</t>
    <rPh sb="0" eb="3">
      <t>ケイサツヨウ</t>
    </rPh>
    <rPh sb="3" eb="6">
      <t>シンダンショ</t>
    </rPh>
    <rPh sb="7" eb="9">
      <t>コウイ</t>
    </rPh>
    <rPh sb="9" eb="11">
      <t>ショウガイ</t>
    </rPh>
    <rPh sb="11" eb="14">
      <t>シンダンショ</t>
    </rPh>
    <rPh sb="15" eb="17">
      <t>インカン</t>
    </rPh>
    <rPh sb="17" eb="19">
      <t>トウロク</t>
    </rPh>
    <rPh sb="19" eb="22">
      <t>ショウメイショ</t>
    </rPh>
    <rPh sb="23" eb="26">
      <t>ジュウミンヒョウ</t>
    </rPh>
    <rPh sb="27" eb="28">
      <t>ウツ</t>
    </rPh>
    <phoneticPr fontId="2"/>
  </si>
  <si>
    <t>甲４の３
甲４の９
甲１２</t>
    <rPh sb="0" eb="1">
      <t>コウ</t>
    </rPh>
    <rPh sb="5" eb="6">
      <t>コウ</t>
    </rPh>
    <rPh sb="10" eb="11">
      <t>コウ</t>
    </rPh>
    <phoneticPr fontId="2"/>
  </si>
  <si>
    <t>介護用品費</t>
    <rPh sb="0" eb="2">
      <t>カイゴ</t>
    </rPh>
    <rPh sb="2" eb="4">
      <t>ヨウヒン</t>
    </rPh>
    <rPh sb="4" eb="5">
      <t>ヒ</t>
    </rPh>
    <phoneticPr fontId="2"/>
  </si>
  <si>
    <t>甲８</t>
    <rPh sb="0" eb="1">
      <t>コウ</t>
    </rPh>
    <phoneticPr fontId="2"/>
  </si>
  <si>
    <t>病衣・紙オムツ代</t>
    <rPh sb="0" eb="2">
      <t>ビョウイ</t>
    </rPh>
    <rPh sb="3" eb="4">
      <t>カミ</t>
    </rPh>
    <rPh sb="7" eb="8">
      <t>ダイ</t>
    </rPh>
    <phoneticPr fontId="2"/>
  </si>
  <si>
    <t>さいたま赤十字病院入院中に使用。</t>
    <rPh sb="4" eb="7">
      <t>セキジュウジ</t>
    </rPh>
    <rPh sb="7" eb="9">
      <t>ビョウイン</t>
    </rPh>
    <rPh sb="9" eb="12">
      <t>ニュウインチュウ</t>
    </rPh>
    <rPh sb="13" eb="15">
      <t>シヨウ</t>
    </rPh>
    <phoneticPr fontId="2"/>
  </si>
  <si>
    <t>甲９</t>
    <rPh sb="0" eb="1">
      <t>コウ</t>
    </rPh>
    <phoneticPr fontId="2"/>
  </si>
  <si>
    <t>大宮共立病院入院中に使用。</t>
    <rPh sb="10" eb="12">
      <t>シヨウ</t>
    </rPh>
    <phoneticPr fontId="2"/>
  </si>
  <si>
    <t>甲１０</t>
    <rPh sb="0" eb="1">
      <t>コウ</t>
    </rPh>
    <phoneticPr fontId="2"/>
  </si>
  <si>
    <t>入院雑費</t>
    <rPh sb="0" eb="2">
      <t>ニュウイン</t>
    </rPh>
    <rPh sb="2" eb="4">
      <t>ザッピ</t>
    </rPh>
    <phoneticPr fontId="12"/>
  </si>
  <si>
    <t>日額1500円×101日</t>
    <rPh sb="0" eb="2">
      <t>ニチガク</t>
    </rPh>
    <rPh sb="6" eb="7">
      <t>エン</t>
    </rPh>
    <rPh sb="11" eb="12">
      <t>ニチ</t>
    </rPh>
    <phoneticPr fontId="2"/>
  </si>
  <si>
    <t>病院間搬送費</t>
    <rPh sb="0" eb="2">
      <t>ビョウイン</t>
    </rPh>
    <rPh sb="2" eb="3">
      <t>カン</t>
    </rPh>
    <rPh sb="3" eb="5">
      <t>ハンソウ</t>
    </rPh>
    <rPh sb="5" eb="6">
      <t>ヒ</t>
    </rPh>
    <phoneticPr fontId="2"/>
  </si>
  <si>
    <t>介護タクシー代</t>
    <rPh sb="0" eb="2">
      <t>カイゴ</t>
    </rPh>
    <rPh sb="6" eb="7">
      <t>ダイ</t>
    </rPh>
    <phoneticPr fontId="2"/>
  </si>
  <si>
    <t>甲１１</t>
    <rPh sb="0" eb="1">
      <t>コウ</t>
    </rPh>
    <phoneticPr fontId="2"/>
  </si>
  <si>
    <t>通院付添費</t>
    <rPh sb="0" eb="2">
      <t>ツウイン</t>
    </rPh>
    <rPh sb="2" eb="3">
      <t>ツ</t>
    </rPh>
    <rPh sb="3" eb="4">
      <t>ソ</t>
    </rPh>
    <rPh sb="4" eb="5">
      <t>ヒ</t>
    </rPh>
    <phoneticPr fontId="12"/>
  </si>
  <si>
    <t>さいたま赤十字病院（通院３日）</t>
    <rPh sb="4" eb="7">
      <t>セキジュウジ</t>
    </rPh>
    <rPh sb="7" eb="9">
      <t>ビョウイン</t>
    </rPh>
    <rPh sb="10" eb="12">
      <t>ツウイン</t>
    </rPh>
    <rPh sb="13" eb="14">
      <t>ニチ</t>
    </rPh>
    <phoneticPr fontId="2"/>
  </si>
  <si>
    <t>装具費</t>
    <rPh sb="0" eb="2">
      <t>ソウグ</t>
    </rPh>
    <rPh sb="2" eb="3">
      <t>ヒ</t>
    </rPh>
    <phoneticPr fontId="2"/>
  </si>
  <si>
    <t>大宮義肢研究所</t>
    <rPh sb="0" eb="2">
      <t>オオミヤ</t>
    </rPh>
    <rPh sb="2" eb="4">
      <t>ギシ</t>
    </rPh>
    <rPh sb="4" eb="7">
      <t>ケンキュウジョ</t>
    </rPh>
    <phoneticPr fontId="2"/>
  </si>
  <si>
    <t>甲１３</t>
    <rPh sb="0" eb="1">
      <t>コウ</t>
    </rPh>
    <phoneticPr fontId="2"/>
  </si>
  <si>
    <t>住宅改造費</t>
    <rPh sb="0" eb="2">
      <t>ジュウタク</t>
    </rPh>
    <rPh sb="2" eb="4">
      <t>カイゾウ</t>
    </rPh>
    <rPh sb="4" eb="5">
      <t>ヒ</t>
    </rPh>
    <phoneticPr fontId="2"/>
  </si>
  <si>
    <t>甲１４</t>
    <rPh sb="0" eb="1">
      <t>コウ</t>
    </rPh>
    <phoneticPr fontId="2"/>
  </si>
  <si>
    <t>休業損害</t>
    <rPh sb="0" eb="2">
      <t>キュウギョウ</t>
    </rPh>
    <rPh sb="2" eb="4">
      <t>ソンガイ</t>
    </rPh>
    <phoneticPr fontId="12"/>
  </si>
  <si>
    <t>令和5年女性学歴計70歳以上平均賃金(2,956,900円）を基礎として、症状固定日までの入院101日及び通院72日分を算定。</t>
    <rPh sb="0" eb="2">
      <t>レイワ</t>
    </rPh>
    <rPh sb="3" eb="4">
      <t>ネン</t>
    </rPh>
    <rPh sb="4" eb="6">
      <t>ジョセイ</t>
    </rPh>
    <rPh sb="6" eb="8">
      <t>ガクレキ</t>
    </rPh>
    <rPh sb="8" eb="9">
      <t>ケイ</t>
    </rPh>
    <rPh sb="11" eb="12">
      <t>サイ</t>
    </rPh>
    <rPh sb="12" eb="14">
      <t>イジョウ</t>
    </rPh>
    <rPh sb="14" eb="16">
      <t>ヘイキン</t>
    </rPh>
    <rPh sb="16" eb="18">
      <t>チンギン</t>
    </rPh>
    <rPh sb="28" eb="29">
      <t>エン</t>
    </rPh>
    <rPh sb="31" eb="33">
      <t>キソ</t>
    </rPh>
    <rPh sb="37" eb="39">
      <t>ショウジョウ</t>
    </rPh>
    <rPh sb="39" eb="41">
      <t>コテイ</t>
    </rPh>
    <rPh sb="41" eb="42">
      <t>ビ</t>
    </rPh>
    <rPh sb="45" eb="47">
      <t>ニュウイン</t>
    </rPh>
    <rPh sb="50" eb="51">
      <t>ニチ</t>
    </rPh>
    <rPh sb="51" eb="52">
      <t>オヨ</t>
    </rPh>
    <rPh sb="53" eb="55">
      <t>ツウイン</t>
    </rPh>
    <rPh sb="57" eb="58">
      <t>ニチ</t>
    </rPh>
    <rPh sb="58" eb="59">
      <t>ブン</t>
    </rPh>
    <rPh sb="60" eb="62">
      <t>サンテイ</t>
    </rPh>
    <phoneticPr fontId="2"/>
  </si>
  <si>
    <t>逸失利益</t>
    <rPh sb="0" eb="1">
      <t>イツ</t>
    </rPh>
    <phoneticPr fontId="12"/>
  </si>
  <si>
    <t>令和5年女性学歴計70歳以上平均賃金(2,956,900円）を基礎として、労働能力喪失率14％、労働能力喪失期間3年（症状固定時88歳の平均余命の1/2）として算定。</t>
    <rPh sb="0" eb="2">
      <t>レイワ</t>
    </rPh>
    <rPh sb="3" eb="4">
      <t>ネン</t>
    </rPh>
    <rPh sb="4" eb="6">
      <t>ジョセイ</t>
    </rPh>
    <rPh sb="6" eb="8">
      <t>ガクレキ</t>
    </rPh>
    <rPh sb="8" eb="9">
      <t>ケイ</t>
    </rPh>
    <rPh sb="11" eb="12">
      <t>サイ</t>
    </rPh>
    <rPh sb="12" eb="14">
      <t>イジョウ</t>
    </rPh>
    <rPh sb="14" eb="16">
      <t>ヘイキン</t>
    </rPh>
    <rPh sb="16" eb="18">
      <t>チンギン</t>
    </rPh>
    <rPh sb="28" eb="29">
      <t>エン</t>
    </rPh>
    <rPh sb="31" eb="33">
      <t>キソ</t>
    </rPh>
    <rPh sb="37" eb="39">
      <t>ロウドウ</t>
    </rPh>
    <rPh sb="39" eb="41">
      <t>ノウリョク</t>
    </rPh>
    <rPh sb="41" eb="43">
      <t>ソウシツ</t>
    </rPh>
    <rPh sb="43" eb="44">
      <t>リツ</t>
    </rPh>
    <rPh sb="48" eb="50">
      <t>ロウドウ</t>
    </rPh>
    <rPh sb="50" eb="52">
      <t>ノウリョク</t>
    </rPh>
    <rPh sb="52" eb="54">
      <t>ソウシツ</t>
    </rPh>
    <rPh sb="54" eb="56">
      <t>キカン</t>
    </rPh>
    <rPh sb="57" eb="58">
      <t>ネン</t>
    </rPh>
    <rPh sb="59" eb="61">
      <t>ショウジョウ</t>
    </rPh>
    <rPh sb="61" eb="63">
      <t>コテイ</t>
    </rPh>
    <rPh sb="63" eb="64">
      <t>ジ</t>
    </rPh>
    <rPh sb="66" eb="67">
      <t>サイ</t>
    </rPh>
    <rPh sb="68" eb="70">
      <t>ヘイキン</t>
    </rPh>
    <rPh sb="70" eb="72">
      <t>ヨミョウ</t>
    </rPh>
    <rPh sb="80" eb="82">
      <t>サンテイ</t>
    </rPh>
    <phoneticPr fontId="2"/>
  </si>
  <si>
    <t>甲１５
甲１７
甲１８</t>
    <rPh sb="0" eb="1">
      <t>コウ</t>
    </rPh>
    <rPh sb="4" eb="5">
      <t>コウ</t>
    </rPh>
    <rPh sb="8" eb="9">
      <t>コウ</t>
    </rPh>
    <phoneticPr fontId="2"/>
  </si>
  <si>
    <t>傷害慰謝料</t>
    <rPh sb="0" eb="2">
      <t>ショウガイ</t>
    </rPh>
    <rPh sb="2" eb="5">
      <t>イシャリョウ</t>
    </rPh>
    <phoneticPr fontId="12"/>
  </si>
  <si>
    <t>入院101日、通院期間２５６日として赤本別表Ⅰに基づいて慰謝料額を算定し、本件事故後に被告が逃走したこと、事故後、全く連絡をせず、原告からの協力要請にも応じず、賠償金を1円も支払っていないことを勘案すると、その1.3倍とすることが相当である。</t>
    <rPh sb="0" eb="2">
      <t>ニュウイン</t>
    </rPh>
    <rPh sb="5" eb="6">
      <t>ニチ</t>
    </rPh>
    <rPh sb="7" eb="9">
      <t>ツウイン</t>
    </rPh>
    <rPh sb="9" eb="11">
      <t>キカン</t>
    </rPh>
    <rPh sb="14" eb="15">
      <t>ニチ</t>
    </rPh>
    <rPh sb="18" eb="20">
      <t>アカホン</t>
    </rPh>
    <rPh sb="20" eb="22">
      <t>ベッピョウ</t>
    </rPh>
    <rPh sb="24" eb="25">
      <t>モト</t>
    </rPh>
    <rPh sb="28" eb="31">
      <t>イシャリョウ</t>
    </rPh>
    <rPh sb="31" eb="32">
      <t>ガク</t>
    </rPh>
    <rPh sb="33" eb="35">
      <t>サンテイ</t>
    </rPh>
    <rPh sb="37" eb="39">
      <t>ホンケン</t>
    </rPh>
    <rPh sb="39" eb="41">
      <t>ジコ</t>
    </rPh>
    <rPh sb="41" eb="42">
      <t>ゴ</t>
    </rPh>
    <rPh sb="43" eb="45">
      <t>ヒコク</t>
    </rPh>
    <rPh sb="46" eb="48">
      <t>トウソウ</t>
    </rPh>
    <rPh sb="53" eb="56">
      <t>ジコゴ</t>
    </rPh>
    <rPh sb="57" eb="58">
      <t>マッタ</t>
    </rPh>
    <rPh sb="59" eb="61">
      <t>レンラク</t>
    </rPh>
    <rPh sb="65" eb="67">
      <t>ゲンコク</t>
    </rPh>
    <rPh sb="70" eb="72">
      <t>キョウリョク</t>
    </rPh>
    <rPh sb="72" eb="74">
      <t>ヨウセイ</t>
    </rPh>
    <rPh sb="76" eb="77">
      <t>オウ</t>
    </rPh>
    <rPh sb="80" eb="83">
      <t>バイショウキン</t>
    </rPh>
    <rPh sb="85" eb="86">
      <t>エン</t>
    </rPh>
    <rPh sb="87" eb="89">
      <t>シハラ</t>
    </rPh>
    <rPh sb="97" eb="99">
      <t>カンアン</t>
    </rPh>
    <rPh sb="108" eb="109">
      <t>バイ</t>
    </rPh>
    <rPh sb="115" eb="117">
      <t>ソウトウ</t>
    </rPh>
    <phoneticPr fontId="2"/>
  </si>
  <si>
    <t>甲２
甲１９
甲２０</t>
    <rPh sb="0" eb="1">
      <t>コウ</t>
    </rPh>
    <rPh sb="3" eb="4">
      <t>コウ</t>
    </rPh>
    <rPh sb="7" eb="8">
      <t>コウ</t>
    </rPh>
    <phoneticPr fontId="2"/>
  </si>
  <si>
    <t>後遺障害慰謝料</t>
    <rPh sb="0" eb="4">
      <t>コウイ</t>
    </rPh>
    <rPh sb="4" eb="7">
      <t>イシャリョウ</t>
    </rPh>
    <phoneticPr fontId="12"/>
  </si>
  <si>
    <t>上記の事情に加え、原告に左膝、左上腕、左踵、左小趾等多部位にわたる疼痛が残存していることを勘案すると、赤本による第１２級の慰謝料額の1.3倍を認めることが相当である。</t>
    <rPh sb="0" eb="2">
      <t>ジョウキ</t>
    </rPh>
    <rPh sb="3" eb="5">
      <t>ジジョウ</t>
    </rPh>
    <rPh sb="6" eb="7">
      <t>クワ</t>
    </rPh>
    <rPh sb="9" eb="11">
      <t>ゲンコク</t>
    </rPh>
    <rPh sb="12" eb="13">
      <t>ヒダリ</t>
    </rPh>
    <rPh sb="13" eb="14">
      <t>ヒザ</t>
    </rPh>
    <rPh sb="15" eb="16">
      <t>ヒダリ</t>
    </rPh>
    <rPh sb="16" eb="18">
      <t>ジョウワン</t>
    </rPh>
    <rPh sb="19" eb="20">
      <t>ヒダリ</t>
    </rPh>
    <rPh sb="20" eb="21">
      <t>カカト</t>
    </rPh>
    <rPh sb="22" eb="23">
      <t>ヒダリ</t>
    </rPh>
    <rPh sb="23" eb="24">
      <t>ショウ</t>
    </rPh>
    <rPh sb="24" eb="25">
      <t>アシユビ</t>
    </rPh>
    <rPh sb="25" eb="26">
      <t>トウ</t>
    </rPh>
    <rPh sb="26" eb="27">
      <t>タ</t>
    </rPh>
    <rPh sb="27" eb="29">
      <t>ブイ</t>
    </rPh>
    <rPh sb="33" eb="35">
      <t>トウツウ</t>
    </rPh>
    <rPh sb="36" eb="38">
      <t>ザンゾン</t>
    </rPh>
    <rPh sb="45" eb="47">
      <t>カンアン</t>
    </rPh>
    <rPh sb="51" eb="53">
      <t>アカホン</t>
    </rPh>
    <rPh sb="56" eb="57">
      <t>ダイ</t>
    </rPh>
    <rPh sb="59" eb="60">
      <t>キュウ</t>
    </rPh>
    <rPh sb="61" eb="64">
      <t>イシャリョウ</t>
    </rPh>
    <rPh sb="64" eb="65">
      <t>ガク</t>
    </rPh>
    <rPh sb="69" eb="70">
      <t>バイ</t>
    </rPh>
    <rPh sb="71" eb="72">
      <t>ミト</t>
    </rPh>
    <rPh sb="77" eb="79">
      <t>ソウトウ</t>
    </rPh>
    <phoneticPr fontId="2"/>
  </si>
  <si>
    <t>甲２
甲１７
甲１８</t>
    <rPh sb="0" eb="1">
      <t>コウ</t>
    </rPh>
    <rPh sb="3" eb="4">
      <t>コウ</t>
    </rPh>
    <rPh sb="7" eb="8">
      <t>コウ</t>
    </rPh>
    <phoneticPr fontId="2"/>
  </si>
  <si>
    <t>小計</t>
    <rPh sb="0" eb="2">
      <t>ショウケイ</t>
    </rPh>
    <phoneticPr fontId="11"/>
  </si>
  <si>
    <t>過失相殺</t>
    <rPh sb="0" eb="2">
      <t>カシツ</t>
    </rPh>
    <rPh sb="2" eb="4">
      <t>ソウサイ</t>
    </rPh>
    <phoneticPr fontId="11"/>
  </si>
  <si>
    <t>原告が高齢者であること、事故現場前方の見通しがよく、被告に著しい過失があったと認められることから、被告に１００％の過失がある。</t>
    <rPh sb="0" eb="2">
      <t>ゲンコク</t>
    </rPh>
    <rPh sb="3" eb="5">
      <t>コウレイ</t>
    </rPh>
    <rPh sb="5" eb="6">
      <t>シャ</t>
    </rPh>
    <rPh sb="12" eb="14">
      <t>ジコ</t>
    </rPh>
    <rPh sb="14" eb="16">
      <t>ゲンバ</t>
    </rPh>
    <rPh sb="16" eb="18">
      <t>ゼンポウ</t>
    </rPh>
    <rPh sb="19" eb="21">
      <t>ミトオ</t>
    </rPh>
    <rPh sb="26" eb="28">
      <t>ヒコク</t>
    </rPh>
    <rPh sb="29" eb="30">
      <t>イチジル</t>
    </rPh>
    <rPh sb="32" eb="34">
      <t>カシツ</t>
    </rPh>
    <rPh sb="39" eb="40">
      <t>ミト</t>
    </rPh>
    <rPh sb="49" eb="51">
      <t>ヒコク</t>
    </rPh>
    <rPh sb="57" eb="59">
      <t>カシツ</t>
    </rPh>
    <phoneticPr fontId="2"/>
  </si>
  <si>
    <t>過失相殺後</t>
    <rPh sb="0" eb="2">
      <t>カシツ</t>
    </rPh>
    <rPh sb="2" eb="4">
      <t>ソウサイ</t>
    </rPh>
    <rPh sb="4" eb="5">
      <t>ゴ</t>
    </rPh>
    <phoneticPr fontId="11"/>
  </si>
  <si>
    <t>損害の填補</t>
    <rPh sb="0" eb="2">
      <t>ソンガイ</t>
    </rPh>
    <rPh sb="3" eb="5">
      <t>テンポ</t>
    </rPh>
    <phoneticPr fontId="11"/>
  </si>
  <si>
    <t>自賠責保険金</t>
    <rPh sb="5" eb="6">
      <t>キン</t>
    </rPh>
    <phoneticPr fontId="5"/>
  </si>
  <si>
    <t>2023/12/27支払い</t>
    <rPh sb="10" eb="12">
      <t>シハライ</t>
    </rPh>
    <phoneticPr fontId="2"/>
  </si>
  <si>
    <t>甲１６</t>
    <rPh sb="0" eb="1">
      <t>コウ</t>
    </rPh>
    <phoneticPr fontId="2"/>
  </si>
  <si>
    <t>支払日までの遅延損害金</t>
    <rPh sb="0" eb="2">
      <t>シハライ</t>
    </rPh>
    <rPh sb="2" eb="3">
      <t>ビ</t>
    </rPh>
    <rPh sb="6" eb="8">
      <t>チエン</t>
    </rPh>
    <rPh sb="8" eb="11">
      <t>ソンガイキン</t>
    </rPh>
    <phoneticPr fontId="2"/>
  </si>
  <si>
    <t>2024/2/1支払い</t>
    <rPh sb="8" eb="10">
      <t>シハライ</t>
    </rPh>
    <phoneticPr fontId="2"/>
  </si>
  <si>
    <t>支払日までの遅延損害金</t>
    <rPh sb="0" eb="3">
      <t>シハライビ</t>
    </rPh>
    <rPh sb="6" eb="8">
      <t>チエン</t>
    </rPh>
    <rPh sb="8" eb="11">
      <t>ソンガイキン</t>
    </rPh>
    <phoneticPr fontId="2"/>
  </si>
  <si>
    <t>2025/2/4支払い</t>
    <rPh sb="8" eb="10">
      <t>シハライ</t>
    </rPh>
    <phoneticPr fontId="2"/>
  </si>
  <si>
    <t>控除後</t>
    <rPh sb="0" eb="2">
      <t>コウジョ</t>
    </rPh>
    <rPh sb="2" eb="3">
      <t>ゴ</t>
    </rPh>
    <phoneticPr fontId="11"/>
  </si>
  <si>
    <t>弁護士費用</t>
    <rPh sb="0" eb="3">
      <t>ベンゴシ</t>
    </rPh>
    <rPh sb="3" eb="5">
      <t>ヒヨウ</t>
    </rPh>
    <phoneticPr fontId="11"/>
  </si>
  <si>
    <t>合計</t>
    <rPh sb="0" eb="2">
      <t>ゴウケイ</t>
    </rPh>
    <phoneticPr fontId="11"/>
  </si>
  <si>
    <t>令和７年（ワ）第２０７０号</t>
    <rPh sb="0" eb="2">
      <t>レイワ</t>
    </rPh>
    <rPh sb="3" eb="4">
      <t>ネン</t>
    </rPh>
    <rPh sb="7" eb="8">
      <t>ダイ</t>
    </rPh>
    <rPh sb="12" eb="13">
      <t>ゴウ</t>
    </rPh>
    <phoneticPr fontId="2"/>
  </si>
  <si>
    <t>被告代理人</t>
    <rPh sb="0" eb="2">
      <t>ヒコク</t>
    </rPh>
    <rPh sb="2" eb="5">
      <t>ダイリニン</t>
    </rPh>
    <phoneticPr fontId="2"/>
  </si>
  <si>
    <t>認める</t>
    <rPh sb="0" eb="1">
      <t>ミト</t>
    </rPh>
    <phoneticPr fontId="2"/>
  </si>
  <si>
    <t>争う</t>
    <rPh sb="0" eb="1">
      <t>アラソ</t>
    </rPh>
    <phoneticPr fontId="2"/>
  </si>
  <si>
    <t>最終更新者：被告代理人</t>
    <rPh sb="0" eb="2">
      <t>サイシュウ</t>
    </rPh>
    <rPh sb="2" eb="4">
      <t>コウシン</t>
    </rPh>
    <rPh sb="4" eb="5">
      <t>シャ</t>
    </rPh>
    <rPh sb="6" eb="8">
      <t>ヒコク</t>
    </rPh>
    <rPh sb="8" eb="11">
      <t>ダイリニン</t>
    </rPh>
    <phoneticPr fontId="2"/>
  </si>
  <si>
    <t>家事従事事実なし</t>
    <rPh sb="0" eb="2">
      <t>カジ</t>
    </rPh>
    <rPh sb="2" eb="4">
      <t>ジュウジ</t>
    </rPh>
    <rPh sb="4" eb="6">
      <t>ジジツ</t>
    </rPh>
    <phoneticPr fontId="2"/>
  </si>
  <si>
    <t>証明なし</t>
    <rPh sb="0" eb="2">
      <t>ショウメイ</t>
    </rPh>
    <phoneticPr fontId="2"/>
  </si>
  <si>
    <t>家事従事可能性なし</t>
    <rPh sb="0" eb="2">
      <t>カジ</t>
    </rPh>
    <rPh sb="2" eb="4">
      <t>ジュウジ</t>
    </rPh>
    <rPh sb="4" eb="7">
      <t>カノウセイ</t>
    </rPh>
    <phoneticPr fontId="2"/>
  </si>
  <si>
    <t>逃走事実なし
その他の事実は、増額相当の評価根拠事実に該当しない</t>
    <rPh sb="0" eb="2">
      <t>トウソウ</t>
    </rPh>
    <rPh sb="2" eb="4">
      <t>ジジツ</t>
    </rPh>
    <rPh sb="9" eb="10">
      <t>タ</t>
    </rPh>
    <rPh sb="11" eb="13">
      <t>ジジツ</t>
    </rPh>
    <rPh sb="15" eb="17">
      <t>ゾウガク</t>
    </rPh>
    <rPh sb="17" eb="19">
      <t>ソウトウ</t>
    </rPh>
    <rPh sb="20" eb="24">
      <t>ヒョウカコンキョ</t>
    </rPh>
    <rPh sb="24" eb="26">
      <t>ジジツ</t>
    </rPh>
    <rPh sb="27" eb="29">
      <t>ガイトウ</t>
    </rPh>
    <phoneticPr fontId="2"/>
  </si>
  <si>
    <t>増額相当の評価根拠事実に該当しない</t>
    <rPh sb="0" eb="4">
      <t>ゾウガクソウトウ</t>
    </rPh>
    <rPh sb="5" eb="9">
      <t>ヒョウカコンキョ</t>
    </rPh>
    <rPh sb="9" eb="11">
      <t>ジジツ</t>
    </rPh>
    <rPh sb="12" eb="14">
      <t>ガイトウ</t>
    </rPh>
    <phoneticPr fontId="2"/>
  </si>
  <si>
    <t>既往身体・精神症状の素因減額10%
被害者側の過失10%</t>
    <rPh sb="0" eb="2">
      <t>キオウ</t>
    </rPh>
    <rPh sb="2" eb="4">
      <t>シンタイ</t>
    </rPh>
    <rPh sb="5" eb="7">
      <t>セイシン</t>
    </rPh>
    <rPh sb="7" eb="9">
      <t>ショウジョウ</t>
    </rPh>
    <rPh sb="10" eb="14">
      <t>ソインゲンガク</t>
    </rPh>
    <rPh sb="18" eb="22">
      <t>ヒガイシャガワ</t>
    </rPh>
    <rPh sb="23" eb="25">
      <t>カシツ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</si>
</sst>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#,##0_ ;[Red]\-#,##0\ "/>
    <numFmt numFmtId="177" formatCode="[$-411]ge\.m\.d;@"/>
    <numFmt numFmtId="178" formatCode="###&quot;歳&quot;"/>
    <numFmt numFmtId="179" formatCode="[$-411]ge\.m\.d;@&quot;生&quot;"/>
    <numFmt numFmtId="180" formatCode="[$-411]ge\.m\.d\(aaa\)"/>
    <numFmt numFmtId="181" formatCode="0_ ;[Red]\-0\ "/>
    <numFmt numFmtId="182" formatCode="[$-409]h:mm\ AM/PM;@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5"/>
      <color indexed="54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6" fontId="14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center" vertical="center"/>
    </xf>
    <xf numFmtId="178" fontId="4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right" vertical="center"/>
    </xf>
    <xf numFmtId="176" fontId="6" fillId="0" borderId="6" xfId="0" applyNumberFormat="1" applyFont="1" applyBorder="1">
      <alignment vertical="center"/>
    </xf>
    <xf numFmtId="0" fontId="8" fillId="0" borderId="0" xfId="0" applyFont="1" applyProtection="1">
      <alignment vertical="center"/>
      <protection locked="0"/>
    </xf>
    <xf numFmtId="0" fontId="10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176" fontId="4" fillId="0" borderId="8" xfId="0" applyNumberFormat="1" applyFont="1" applyBorder="1" applyAlignment="1">
      <alignment vertical="center" wrapText="1"/>
    </xf>
    <xf numFmtId="176" fontId="4" fillId="0" borderId="10" xfId="0" applyNumberFormat="1" applyFont="1" applyBorder="1" applyAlignment="1">
      <alignment vertical="center" wrapText="1"/>
    </xf>
    <xf numFmtId="176" fontId="6" fillId="0" borderId="5" xfId="0" applyNumberFormat="1" applyFont="1" applyBorder="1">
      <alignment vertical="center"/>
    </xf>
    <xf numFmtId="0" fontId="4" fillId="0" borderId="25" xfId="0" applyFont="1" applyBorder="1">
      <alignment vertical="center"/>
    </xf>
    <xf numFmtId="0" fontId="8" fillId="0" borderId="25" xfId="0" applyFont="1" applyBorder="1" applyProtection="1">
      <alignment vertical="center"/>
      <protection locked="0"/>
    </xf>
    <xf numFmtId="0" fontId="10" fillId="0" borderId="25" xfId="0" applyFont="1" applyBorder="1">
      <alignment vertical="center"/>
    </xf>
    <xf numFmtId="176" fontId="4" fillId="0" borderId="25" xfId="0" applyNumberFormat="1" applyFont="1" applyBorder="1">
      <alignment vertical="center"/>
    </xf>
    <xf numFmtId="176" fontId="4" fillId="0" borderId="25" xfId="0" applyNumberFormat="1" applyFont="1" applyBorder="1" applyAlignment="1">
      <alignment horizontal="center" vertical="center"/>
    </xf>
    <xf numFmtId="176" fontId="4" fillId="0" borderId="34" xfId="0" applyNumberFormat="1" applyFont="1" applyBorder="1" applyAlignment="1">
      <alignment vertical="center" wrapText="1"/>
    </xf>
    <xf numFmtId="176" fontId="4" fillId="0" borderId="2" xfId="0" applyNumberFormat="1" applyFont="1" applyBorder="1">
      <alignment vertical="center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vertical="center" wrapText="1"/>
    </xf>
    <xf numFmtId="176" fontId="4" fillId="0" borderId="32" xfId="0" applyNumberFormat="1" applyFont="1" applyBorder="1" applyAlignment="1">
      <alignment vertical="center" wrapText="1"/>
    </xf>
    <xf numFmtId="176" fontId="4" fillId="0" borderId="38" xfId="0" applyNumberFormat="1" applyFont="1" applyBorder="1" applyAlignment="1">
      <alignment vertical="center" wrapText="1"/>
    </xf>
    <xf numFmtId="176" fontId="4" fillId="0" borderId="25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2">
      <alignment vertical="center"/>
    </xf>
    <xf numFmtId="0" fontId="4" fillId="0" borderId="0" xfId="2" applyAlignment="1">
      <alignment vertical="center" wrapText="1"/>
    </xf>
    <xf numFmtId="0" fontId="4" fillId="0" borderId="25" xfId="2" applyBorder="1">
      <alignment vertical="center"/>
    </xf>
    <xf numFmtId="0" fontId="4" fillId="0" borderId="21" xfId="2" applyBorder="1" applyAlignment="1">
      <alignment vertical="center" wrapText="1"/>
    </xf>
    <xf numFmtId="0" fontId="4" fillId="0" borderId="20" xfId="2" applyBorder="1" applyAlignment="1">
      <alignment vertical="center" wrapText="1"/>
    </xf>
    <xf numFmtId="0" fontId="4" fillId="0" borderId="25" xfId="2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left" vertical="center"/>
    </xf>
    <xf numFmtId="57" fontId="4" fillId="0" borderId="0" xfId="0" applyNumberFormat="1" applyFont="1" applyAlignment="1">
      <alignment horizontal="left" vertical="center"/>
    </xf>
    <xf numFmtId="0" fontId="4" fillId="0" borderId="32" xfId="2" applyBorder="1" applyAlignment="1">
      <alignment vertical="center" wrapText="1"/>
    </xf>
    <xf numFmtId="176" fontId="4" fillId="0" borderId="39" xfId="0" applyNumberFormat="1" applyFont="1" applyBorder="1" applyAlignment="1">
      <alignment vertical="center" wrapText="1"/>
    </xf>
    <xf numFmtId="0" fontId="8" fillId="0" borderId="0" xfId="0" applyFont="1" applyAlignment="1" applyProtection="1">
      <alignment vertical="center" wrapText="1"/>
      <protection locked="0"/>
    </xf>
    <xf numFmtId="176" fontId="4" fillId="0" borderId="20" xfId="0" applyNumberFormat="1" applyFont="1" applyBorder="1" applyAlignment="1">
      <alignment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0" fontId="4" fillId="0" borderId="9" xfId="2" applyBorder="1">
      <alignment vertical="center"/>
    </xf>
    <xf numFmtId="0" fontId="4" fillId="0" borderId="8" xfId="2" applyBorder="1">
      <alignment vertical="center"/>
    </xf>
    <xf numFmtId="0" fontId="4" fillId="0" borderId="10" xfId="2" applyBorder="1">
      <alignment vertical="center"/>
    </xf>
    <xf numFmtId="9" fontId="4" fillId="0" borderId="33" xfId="2" applyNumberFormat="1" applyBorder="1" applyAlignment="1">
      <alignment horizontal="right" vertical="center"/>
    </xf>
    <xf numFmtId="176" fontId="4" fillId="0" borderId="9" xfId="0" applyNumberFormat="1" applyFont="1" applyBorder="1" applyAlignment="1">
      <alignment vertical="center" wrapText="1"/>
    </xf>
    <xf numFmtId="176" fontId="4" fillId="0" borderId="11" xfId="0" applyNumberFormat="1" applyFont="1" applyBorder="1" applyAlignment="1">
      <alignment vertical="center" wrapText="1"/>
    </xf>
    <xf numFmtId="176" fontId="4" fillId="0" borderId="43" xfId="0" applyNumberFormat="1" applyFont="1" applyBorder="1" applyAlignment="1">
      <alignment vertical="center" wrapText="1"/>
    </xf>
    <xf numFmtId="0" fontId="4" fillId="0" borderId="25" xfId="0" applyFont="1" applyBorder="1" applyAlignment="1">
      <alignment horizontal="right" vertical="center"/>
    </xf>
    <xf numFmtId="176" fontId="4" fillId="0" borderId="29" xfId="0" applyNumberFormat="1" applyFont="1" applyBorder="1" applyAlignment="1">
      <alignment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/>
    </xf>
    <xf numFmtId="177" fontId="4" fillId="0" borderId="19" xfId="0" applyNumberFormat="1" applyFont="1" applyBorder="1" applyAlignment="1">
      <alignment horizontal="center" vertical="center"/>
    </xf>
    <xf numFmtId="0" fontId="4" fillId="0" borderId="9" xfId="2" applyBorder="1" applyAlignment="1">
      <alignment vertical="center" wrapText="1"/>
    </xf>
    <xf numFmtId="9" fontId="4" fillId="0" borderId="33" xfId="2" applyNumberFormat="1" applyBorder="1">
      <alignment vertical="center"/>
    </xf>
    <xf numFmtId="0" fontId="3" fillId="0" borderId="0" xfId="2" applyFont="1">
      <alignment vertical="center"/>
    </xf>
    <xf numFmtId="0" fontId="9" fillId="0" borderId="0" xfId="0" applyFont="1">
      <alignment vertical="center"/>
    </xf>
    <xf numFmtId="0" fontId="7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4" fillId="2" borderId="0" xfId="2" applyFill="1">
      <alignment vertical="center"/>
    </xf>
    <xf numFmtId="0" fontId="4" fillId="2" borderId="25" xfId="2" applyFill="1" applyBorder="1">
      <alignment vertical="center"/>
    </xf>
    <xf numFmtId="0" fontId="4" fillId="2" borderId="10" xfId="2" applyFill="1" applyBorder="1" applyAlignment="1">
      <alignment horizontal="right" vertical="center"/>
    </xf>
    <xf numFmtId="0" fontId="4" fillId="2" borderId="32" xfId="2" applyFill="1" applyBorder="1" applyAlignment="1">
      <alignment vertical="center" wrapText="1"/>
    </xf>
    <xf numFmtId="0" fontId="13" fillId="2" borderId="10" xfId="2" applyFont="1" applyFill="1" applyBorder="1" applyAlignment="1">
      <alignment horizontal="right" vertical="center"/>
    </xf>
    <xf numFmtId="0" fontId="13" fillId="2" borderId="32" xfId="2" applyFont="1" applyFill="1" applyBorder="1" applyAlignment="1">
      <alignment vertical="center" wrapText="1"/>
    </xf>
    <xf numFmtId="0" fontId="13" fillId="2" borderId="0" xfId="2" applyFont="1" applyFill="1">
      <alignment vertical="center"/>
    </xf>
    <xf numFmtId="0" fontId="13" fillId="2" borderId="25" xfId="2" applyFont="1" applyFill="1" applyBorder="1">
      <alignment vertical="center"/>
    </xf>
    <xf numFmtId="6" fontId="4" fillId="0" borderId="0" xfId="0" applyNumberFormat="1" applyFont="1">
      <alignment vertical="center"/>
    </xf>
    <xf numFmtId="6" fontId="7" fillId="0" borderId="0" xfId="0" applyNumberFormat="1" applyFont="1" applyAlignment="1" applyProtection="1">
      <alignment horizontal="center" vertical="center"/>
      <protection locked="0"/>
    </xf>
    <xf numFmtId="6" fontId="4" fillId="0" borderId="0" xfId="2" applyNumberFormat="1">
      <alignment vertical="center"/>
    </xf>
    <xf numFmtId="6" fontId="4" fillId="0" borderId="33" xfId="2" applyNumberFormat="1" applyBorder="1" applyAlignment="1">
      <alignment horizontal="right" vertical="center"/>
    </xf>
    <xf numFmtId="6" fontId="4" fillId="0" borderId="30" xfId="2" applyNumberFormat="1" applyBorder="1" applyAlignment="1">
      <alignment horizontal="right" vertical="center"/>
    </xf>
    <xf numFmtId="6" fontId="4" fillId="0" borderId="30" xfId="2" applyNumberFormat="1" applyBorder="1">
      <alignment vertical="center"/>
    </xf>
    <xf numFmtId="6" fontId="4" fillId="0" borderId="31" xfId="2" applyNumberFormat="1" applyBorder="1">
      <alignment vertical="center"/>
    </xf>
    <xf numFmtId="6" fontId="4" fillId="0" borderId="31" xfId="2" applyNumberFormat="1" applyBorder="1" applyAlignment="1">
      <alignment horizontal="right" vertical="center"/>
    </xf>
    <xf numFmtId="6" fontId="4" fillId="2" borderId="36" xfId="2" applyNumberFormat="1" applyFill="1" applyBorder="1">
      <alignment vertical="center"/>
    </xf>
    <xf numFmtId="6" fontId="4" fillId="0" borderId="33" xfId="2" applyNumberFormat="1" applyBorder="1">
      <alignment vertical="center"/>
    </xf>
    <xf numFmtId="6" fontId="4" fillId="2" borderId="31" xfId="2" applyNumberFormat="1" applyFill="1" applyBorder="1">
      <alignment vertical="center"/>
    </xf>
    <xf numFmtId="6" fontId="13" fillId="2" borderId="31" xfId="2" applyNumberFormat="1" applyFont="1" applyFill="1" applyBorder="1">
      <alignment vertical="center"/>
    </xf>
    <xf numFmtId="6" fontId="4" fillId="0" borderId="0" xfId="0" applyNumberFormat="1" applyFont="1" applyAlignment="1">
      <alignment horizontal="right" vertical="center"/>
    </xf>
    <xf numFmtId="6" fontId="7" fillId="0" borderId="0" xfId="0" applyNumberFormat="1" applyFont="1" applyProtection="1">
      <alignment vertical="center"/>
      <protection locked="0"/>
    </xf>
    <xf numFmtId="181" fontId="6" fillId="0" borderId="19" xfId="0" applyNumberFormat="1" applyFont="1" applyBorder="1" applyAlignment="1">
      <alignment horizontal="center" vertical="center" shrinkToFit="1"/>
    </xf>
    <xf numFmtId="181" fontId="4" fillId="2" borderId="19" xfId="0" applyNumberFormat="1" applyFont="1" applyFill="1" applyBorder="1" applyAlignment="1">
      <alignment horizontal="center" vertical="center"/>
    </xf>
    <xf numFmtId="181" fontId="4" fillId="0" borderId="19" xfId="0" applyNumberFormat="1" applyFont="1" applyBorder="1" applyAlignment="1">
      <alignment horizontal="center" vertical="center" shrinkToFit="1"/>
    </xf>
    <xf numFmtId="181" fontId="4" fillId="0" borderId="6" xfId="0" applyNumberFormat="1" applyFont="1" applyBorder="1" applyAlignment="1">
      <alignment horizontal="center" vertical="center"/>
    </xf>
    <xf numFmtId="181" fontId="4" fillId="0" borderId="19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left" vertical="center"/>
    </xf>
    <xf numFmtId="0" fontId="4" fillId="2" borderId="34" xfId="2" applyFill="1" applyBorder="1" applyAlignment="1">
      <alignment horizontal="right" vertical="center"/>
    </xf>
    <xf numFmtId="0" fontId="4" fillId="2" borderId="38" xfId="2" applyFill="1" applyBorder="1" applyAlignment="1">
      <alignment vertical="center" wrapText="1"/>
    </xf>
    <xf numFmtId="0" fontId="4" fillId="0" borderId="34" xfId="2" applyBorder="1" applyAlignment="1">
      <alignment horizontal="center" vertical="center"/>
    </xf>
    <xf numFmtId="6" fontId="4" fillId="0" borderId="36" xfId="2" applyNumberFormat="1" applyBorder="1" applyAlignment="1">
      <alignment horizontal="center" vertical="center" wrapText="1"/>
    </xf>
    <xf numFmtId="0" fontId="4" fillId="0" borderId="38" xfId="2" applyBorder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176" fontId="6" fillId="0" borderId="19" xfId="0" applyNumberFormat="1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right" vertical="center"/>
    </xf>
    <xf numFmtId="177" fontId="4" fillId="2" borderId="44" xfId="0" applyNumberFormat="1" applyFont="1" applyFill="1" applyBorder="1" applyAlignment="1">
      <alignment horizontal="center" vertical="center"/>
    </xf>
    <xf numFmtId="181" fontId="4" fillId="2" borderId="44" xfId="0" applyNumberFormat="1" applyFont="1" applyFill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4" fillId="0" borderId="34" xfId="2" applyBorder="1" applyAlignment="1">
      <alignment vertical="center" wrapText="1"/>
    </xf>
    <xf numFmtId="0" fontId="4" fillId="0" borderId="22" xfId="2" applyBorder="1">
      <alignment vertical="center"/>
    </xf>
    <xf numFmtId="6" fontId="4" fillId="0" borderId="26" xfId="2" applyNumberFormat="1" applyBorder="1" applyAlignment="1">
      <alignment horizontal="right" vertical="center"/>
    </xf>
    <xf numFmtId="0" fontId="4" fillId="0" borderId="27" xfId="2" applyBorder="1" applyAlignment="1">
      <alignment vertical="center" wrapText="1"/>
    </xf>
    <xf numFmtId="0" fontId="4" fillId="0" borderId="22" xfId="2" applyBorder="1" applyAlignment="1">
      <alignment horizontal="left" vertical="center"/>
    </xf>
    <xf numFmtId="0" fontId="4" fillId="0" borderId="8" xfId="2" applyBorder="1" applyAlignment="1">
      <alignment vertical="center" wrapText="1"/>
    </xf>
    <xf numFmtId="6" fontId="4" fillId="0" borderId="9" xfId="2" applyNumberFormat="1" applyBorder="1" applyAlignment="1">
      <alignment vertical="center" wrapText="1"/>
    </xf>
    <xf numFmtId="0" fontId="4" fillId="0" borderId="10" xfId="2" applyBorder="1" applyAlignment="1">
      <alignment vertical="center" wrapText="1"/>
    </xf>
    <xf numFmtId="0" fontId="13" fillId="2" borderId="52" xfId="2" applyFont="1" applyFill="1" applyBorder="1" applyAlignment="1">
      <alignment vertical="center" wrapText="1"/>
    </xf>
    <xf numFmtId="6" fontId="4" fillId="0" borderId="0" xfId="3" applyFont="1" applyAlignment="1">
      <alignment vertical="center" wrapText="1"/>
    </xf>
    <xf numFmtId="6" fontId="7" fillId="0" borderId="0" xfId="3" applyFont="1" applyAlignment="1" applyProtection="1">
      <alignment horizontal="center" vertical="center"/>
      <protection locked="0"/>
    </xf>
    <xf numFmtId="6" fontId="4" fillId="0" borderId="50" xfId="3" applyFont="1" applyBorder="1" applyAlignment="1">
      <alignment vertical="center" wrapText="1"/>
    </xf>
    <xf numFmtId="6" fontId="4" fillId="0" borderId="51" xfId="3" applyFont="1" applyBorder="1" applyAlignment="1">
      <alignment vertical="center" wrapText="1"/>
    </xf>
    <xf numFmtId="6" fontId="4" fillId="0" borderId="19" xfId="3" applyFont="1" applyBorder="1" applyAlignment="1">
      <alignment vertical="center" wrapText="1"/>
    </xf>
    <xf numFmtId="6" fontId="4" fillId="2" borderId="44" xfId="3" applyFont="1" applyFill="1" applyBorder="1" applyAlignment="1">
      <alignment vertical="center" wrapText="1"/>
    </xf>
    <xf numFmtId="6" fontId="13" fillId="2" borderId="44" xfId="3" applyFont="1" applyFill="1" applyBorder="1" applyAlignment="1">
      <alignment vertical="center" wrapText="1"/>
    </xf>
    <xf numFmtId="0" fontId="4" fillId="0" borderId="22" xfId="2" applyBorder="1" applyAlignment="1">
      <alignment vertical="center" wrapText="1"/>
    </xf>
    <xf numFmtId="6" fontId="4" fillId="0" borderId="39" xfId="3" applyFont="1" applyBorder="1" applyAlignment="1">
      <alignment horizontal="left" vertical="center" wrapText="1"/>
    </xf>
    <xf numFmtId="0" fontId="4" fillId="0" borderId="41" xfId="2" applyBorder="1">
      <alignment vertical="center"/>
    </xf>
    <xf numFmtId="57" fontId="4" fillId="0" borderId="20" xfId="2" applyNumberFormat="1" applyBorder="1" applyAlignment="1">
      <alignment vertical="center" wrapText="1"/>
    </xf>
    <xf numFmtId="6" fontId="4" fillId="0" borderId="48" xfId="2" applyNumberFormat="1" applyBorder="1">
      <alignment vertical="center"/>
    </xf>
    <xf numFmtId="6" fontId="4" fillId="0" borderId="59" xfId="3" applyFont="1" applyBorder="1" applyAlignment="1">
      <alignment horizontal="left" vertical="center" wrapText="1"/>
    </xf>
    <xf numFmtId="6" fontId="4" fillId="0" borderId="60" xfId="3" applyFont="1" applyBorder="1" applyAlignment="1">
      <alignment horizontal="left" vertical="center" wrapText="1"/>
    </xf>
    <xf numFmtId="0" fontId="4" fillId="0" borderId="52" xfId="2" applyBorder="1" applyAlignment="1">
      <alignment vertical="center" wrapText="1"/>
    </xf>
    <xf numFmtId="0" fontId="4" fillId="0" borderId="61" xfId="2" applyBorder="1" applyAlignment="1">
      <alignment vertical="center" wrapText="1"/>
    </xf>
    <xf numFmtId="6" fontId="4" fillId="0" borderId="6" xfId="3" applyFont="1" applyBorder="1" applyAlignment="1">
      <alignment vertical="center" wrapText="1"/>
    </xf>
    <xf numFmtId="6" fontId="4" fillId="0" borderId="39" xfId="3" applyFont="1" applyBorder="1" applyAlignment="1">
      <alignment vertical="center" wrapText="1"/>
    </xf>
    <xf numFmtId="6" fontId="4" fillId="0" borderId="6" xfId="3" applyFont="1" applyBorder="1" applyAlignment="1">
      <alignment horizontal="right" vertical="center" wrapText="1"/>
    </xf>
    <xf numFmtId="0" fontId="4" fillId="2" borderId="34" xfId="2" applyFill="1" applyBorder="1" applyAlignment="1">
      <alignment vertical="center" wrapText="1"/>
    </xf>
    <xf numFmtId="0" fontId="4" fillId="0" borderId="52" xfId="2" applyBorder="1">
      <alignment vertical="center"/>
    </xf>
    <xf numFmtId="6" fontId="4" fillId="0" borderId="62" xfId="2" applyNumberFormat="1" applyBorder="1" applyAlignment="1">
      <alignment horizontal="right" vertical="center"/>
    </xf>
    <xf numFmtId="0" fontId="4" fillId="0" borderId="34" xfId="2" applyBorder="1">
      <alignment vertical="center"/>
    </xf>
    <xf numFmtId="6" fontId="4" fillId="0" borderId="36" xfId="2" applyNumberFormat="1" applyBorder="1" applyAlignment="1">
      <alignment horizontal="right" vertical="center"/>
    </xf>
    <xf numFmtId="0" fontId="4" fillId="2" borderId="52" xfId="2" applyFill="1" applyBorder="1" applyAlignment="1">
      <alignment vertical="center" wrapText="1"/>
    </xf>
    <xf numFmtId="0" fontId="4" fillId="2" borderId="10" xfId="2" applyFill="1" applyBorder="1" applyAlignment="1">
      <alignment vertical="center" wrapText="1"/>
    </xf>
    <xf numFmtId="57" fontId="4" fillId="0" borderId="0" xfId="0" applyNumberFormat="1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176" fontId="4" fillId="0" borderId="29" xfId="0" applyNumberFormat="1" applyFont="1" applyBorder="1" applyAlignment="1">
      <alignment vertical="center" wrapText="1"/>
    </xf>
    <xf numFmtId="176" fontId="4" fillId="0" borderId="27" xfId="0" applyNumberFormat="1" applyFont="1" applyBorder="1" applyAlignment="1">
      <alignment vertical="center" wrapText="1"/>
    </xf>
    <xf numFmtId="179" fontId="4" fillId="0" borderId="2" xfId="0" applyNumberFormat="1" applyFont="1" applyBorder="1" applyAlignment="1">
      <alignment horizontal="left" vertical="center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vertical="center" wrapText="1"/>
    </xf>
    <xf numFmtId="178" fontId="4" fillId="0" borderId="14" xfId="0" applyNumberFormat="1" applyFont="1" applyBorder="1" applyAlignment="1">
      <alignment vertical="center" wrapText="1"/>
    </xf>
    <xf numFmtId="176" fontId="4" fillId="0" borderId="35" xfId="0" applyNumberFormat="1" applyFont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176" fontId="4" fillId="0" borderId="37" xfId="0" applyNumberFormat="1" applyFont="1" applyBorder="1" applyAlignment="1">
      <alignment vertical="center" wrapText="1"/>
    </xf>
    <xf numFmtId="176" fontId="4" fillId="0" borderId="42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vertical="center" shrinkToFit="1"/>
    </xf>
    <xf numFmtId="176" fontId="4" fillId="0" borderId="19" xfId="0" applyNumberFormat="1" applyFont="1" applyBorder="1" applyAlignment="1">
      <alignment vertical="center" shrinkToFit="1"/>
    </xf>
    <xf numFmtId="176" fontId="4" fillId="0" borderId="31" xfId="0" applyNumberFormat="1" applyFont="1" applyBorder="1" applyAlignment="1">
      <alignment vertical="center" wrapText="1"/>
    </xf>
    <xf numFmtId="176" fontId="4" fillId="0" borderId="44" xfId="0" applyNumberFormat="1" applyFont="1" applyBorder="1" applyAlignment="1">
      <alignment vertical="center" wrapText="1"/>
    </xf>
    <xf numFmtId="176" fontId="6" fillId="2" borderId="2" xfId="0" applyNumberFormat="1" applyFont="1" applyFill="1" applyBorder="1">
      <alignment vertical="center"/>
    </xf>
    <xf numFmtId="0" fontId="0" fillId="0" borderId="2" xfId="0" applyBorder="1">
      <alignment vertical="center"/>
    </xf>
    <xf numFmtId="176" fontId="4" fillId="0" borderId="13" xfId="0" applyNumberFormat="1" applyFont="1" applyBorder="1" applyAlignment="1">
      <alignment vertical="center" wrapText="1"/>
    </xf>
    <xf numFmtId="176" fontId="4" fillId="0" borderId="3" xfId="0" applyNumberFormat="1" applyFont="1" applyBorder="1" applyAlignment="1">
      <alignment vertical="center" wrapText="1"/>
    </xf>
    <xf numFmtId="176" fontId="4" fillId="0" borderId="14" xfId="0" applyNumberFormat="1" applyFont="1" applyBorder="1" applyAlignment="1">
      <alignment vertical="center" wrapText="1"/>
    </xf>
    <xf numFmtId="176" fontId="4" fillId="0" borderId="28" xfId="0" applyNumberFormat="1" applyFont="1" applyBorder="1" applyAlignment="1">
      <alignment horizontal="center" vertical="center"/>
    </xf>
    <xf numFmtId="176" fontId="4" fillId="0" borderId="26" xfId="0" applyNumberFormat="1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left" vertical="center" shrinkToFit="1"/>
    </xf>
    <xf numFmtId="176" fontId="4" fillId="0" borderId="3" xfId="0" applyNumberFormat="1" applyFont="1" applyBorder="1" applyAlignment="1">
      <alignment horizontal="left" vertical="center" shrinkToFit="1"/>
    </xf>
    <xf numFmtId="176" fontId="4" fillId="0" borderId="14" xfId="0" applyNumberFormat="1" applyFont="1" applyBorder="1" applyAlignment="1">
      <alignment horizontal="left" vertical="center" shrinkToFit="1"/>
    </xf>
    <xf numFmtId="177" fontId="4" fillId="0" borderId="1" xfId="0" applyNumberFormat="1" applyFont="1" applyBorder="1" applyAlignment="1">
      <alignment horizontal="center" vertical="center"/>
    </xf>
    <xf numFmtId="177" fontId="4" fillId="0" borderId="37" xfId="0" applyNumberFormat="1" applyFont="1" applyBorder="1" applyAlignment="1">
      <alignment horizontal="center" vertical="center"/>
    </xf>
    <xf numFmtId="20" fontId="4" fillId="0" borderId="15" xfId="0" applyNumberFormat="1" applyFont="1" applyBorder="1" applyAlignment="1">
      <alignment vertical="center" wrapText="1"/>
    </xf>
    <xf numFmtId="20" fontId="4" fillId="0" borderId="4" xfId="0" applyNumberFormat="1" applyFont="1" applyBorder="1" applyAlignment="1">
      <alignment vertical="center" wrapText="1"/>
    </xf>
    <xf numFmtId="20" fontId="4" fillId="0" borderId="18" xfId="0" applyNumberFormat="1" applyFont="1" applyBorder="1" applyAlignment="1">
      <alignment vertical="center" wrapText="1"/>
    </xf>
    <xf numFmtId="176" fontId="4" fillId="0" borderId="23" xfId="0" applyNumberFormat="1" applyFont="1" applyBorder="1">
      <alignment vertical="center"/>
    </xf>
    <xf numFmtId="176" fontId="4" fillId="0" borderId="40" xfId="0" applyNumberFormat="1" applyFont="1" applyBorder="1">
      <alignment vertical="center"/>
    </xf>
    <xf numFmtId="176" fontId="4" fillId="0" borderId="16" xfId="0" applyNumberFormat="1" applyFont="1" applyBorder="1">
      <alignment vertical="center"/>
    </xf>
    <xf numFmtId="176" fontId="4" fillId="0" borderId="17" xfId="0" applyNumberFormat="1" applyFont="1" applyBorder="1">
      <alignment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82" fontId="4" fillId="0" borderId="2" xfId="0" applyNumberFormat="1" applyFont="1" applyBorder="1" applyAlignment="1">
      <alignment horizontal="right" vertical="center"/>
    </xf>
    <xf numFmtId="176" fontId="4" fillId="0" borderId="24" xfId="0" applyNumberFormat="1" applyFont="1" applyBorder="1" applyAlignment="1">
      <alignment vertical="center" wrapText="1"/>
    </xf>
    <xf numFmtId="176" fontId="4" fillId="0" borderId="22" xfId="0" applyNumberFormat="1" applyFont="1" applyBorder="1" applyAlignment="1">
      <alignment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0" borderId="41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>
      <alignment vertical="center"/>
    </xf>
    <xf numFmtId="176" fontId="4" fillId="0" borderId="3" xfId="0" applyNumberFormat="1" applyFont="1" applyBorder="1">
      <alignment vertical="center"/>
    </xf>
    <xf numFmtId="176" fontId="4" fillId="0" borderId="14" xfId="0" applyNumberFormat="1" applyFont="1" applyBorder="1">
      <alignment vertical="center"/>
    </xf>
    <xf numFmtId="176" fontId="4" fillId="0" borderId="55" xfId="0" applyNumberFormat="1" applyFont="1" applyBorder="1" applyAlignment="1">
      <alignment horizontal="left" vertical="center"/>
    </xf>
    <xf numFmtId="176" fontId="4" fillId="0" borderId="56" xfId="0" applyNumberFormat="1" applyFont="1" applyBorder="1" applyAlignment="1">
      <alignment horizontal="left" vertical="center"/>
    </xf>
    <xf numFmtId="176" fontId="4" fillId="0" borderId="57" xfId="0" applyNumberFormat="1" applyFont="1" applyBorder="1" applyAlignment="1">
      <alignment horizontal="left" vertical="center"/>
    </xf>
    <xf numFmtId="176" fontId="4" fillId="0" borderId="58" xfId="0" applyNumberFormat="1" applyFont="1" applyBorder="1" applyAlignment="1">
      <alignment horizontal="left" vertical="center"/>
    </xf>
    <xf numFmtId="176" fontId="4" fillId="0" borderId="46" xfId="0" applyNumberFormat="1" applyFont="1" applyBorder="1" applyAlignment="1">
      <alignment horizontal="left" vertical="center"/>
    </xf>
    <xf numFmtId="176" fontId="4" fillId="0" borderId="17" xfId="0" applyNumberFormat="1" applyFont="1" applyBorder="1" applyAlignment="1">
      <alignment horizontal="left" vertical="center"/>
    </xf>
    <xf numFmtId="0" fontId="4" fillId="0" borderId="24" xfId="2" applyBorder="1">
      <alignment vertical="center"/>
    </xf>
    <xf numFmtId="0" fontId="4" fillId="0" borderId="41" xfId="2" applyBorder="1">
      <alignment vertical="center"/>
    </xf>
    <xf numFmtId="0" fontId="4" fillId="0" borderId="22" xfId="2" applyBorder="1">
      <alignment vertical="center"/>
    </xf>
    <xf numFmtId="6" fontId="4" fillId="0" borderId="28" xfId="2" applyNumberFormat="1" applyBorder="1" applyAlignment="1">
      <alignment horizontal="right" vertical="center"/>
    </xf>
    <xf numFmtId="6" fontId="4" fillId="0" borderId="26" xfId="2" applyNumberFormat="1" applyBorder="1" applyAlignment="1">
      <alignment horizontal="right" vertical="center"/>
    </xf>
    <xf numFmtId="6" fontId="4" fillId="0" borderId="48" xfId="2" applyNumberFormat="1" applyBorder="1" applyAlignment="1">
      <alignment horizontal="right" vertical="center"/>
    </xf>
    <xf numFmtId="6" fontId="4" fillId="2" borderId="7" xfId="3" applyFont="1" applyFill="1" applyBorder="1" applyAlignment="1">
      <alignment horizontal="left" vertical="center" wrapText="1"/>
    </xf>
    <xf numFmtId="6" fontId="4" fillId="2" borderId="53" xfId="3" applyFont="1" applyFill="1" applyBorder="1" applyAlignment="1">
      <alignment horizontal="left" vertical="center" wrapText="1"/>
    </xf>
    <xf numFmtId="6" fontId="4" fillId="0" borderId="5" xfId="3" applyFont="1" applyBorder="1" applyAlignment="1">
      <alignment horizontal="left" vertical="center" wrapText="1"/>
    </xf>
    <xf numFmtId="6" fontId="4" fillId="0" borderId="49" xfId="3" applyFont="1" applyBorder="1" applyAlignment="1">
      <alignment horizontal="left" vertical="center" wrapText="1"/>
    </xf>
    <xf numFmtId="6" fontId="4" fillId="0" borderId="7" xfId="3" applyFont="1" applyBorder="1" applyAlignment="1">
      <alignment horizontal="left" vertical="center" wrapText="1"/>
    </xf>
    <xf numFmtId="6" fontId="4" fillId="0" borderId="53" xfId="3" applyFont="1" applyBorder="1" applyAlignment="1">
      <alignment horizontal="left" vertical="center" wrapText="1"/>
    </xf>
    <xf numFmtId="6" fontId="4" fillId="2" borderId="45" xfId="3" applyFont="1" applyFill="1" applyBorder="1" applyAlignment="1">
      <alignment horizontal="center" vertical="center" wrapText="1"/>
    </xf>
    <xf numFmtId="6" fontId="4" fillId="2" borderId="54" xfId="3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45" xfId="2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" fillId="0" borderId="42" xfId="2" applyBorder="1" applyAlignment="1">
      <alignment horizontal="left" vertical="center"/>
    </xf>
    <xf numFmtId="0" fontId="4" fillId="0" borderId="41" xfId="2" applyBorder="1" applyAlignment="1">
      <alignment horizontal="left" vertical="center"/>
    </xf>
    <xf numFmtId="0" fontId="4" fillId="0" borderId="22" xfId="2" applyBorder="1" applyAlignment="1">
      <alignment horizontal="left" vertical="center"/>
    </xf>
    <xf numFmtId="6" fontId="4" fillId="0" borderId="47" xfId="2" applyNumberFormat="1" applyBorder="1" applyAlignment="1">
      <alignment horizontal="right" vertical="center"/>
    </xf>
    <xf numFmtId="6" fontId="4" fillId="0" borderId="6" xfId="3" applyFont="1" applyBorder="1" applyAlignment="1">
      <alignment horizontal="left" vertical="center" wrapText="1"/>
    </xf>
    <xf numFmtId="6" fontId="4" fillId="0" borderId="39" xfId="3" applyFont="1" applyBorder="1" applyAlignment="1">
      <alignment horizontal="left" vertical="center" wrapText="1"/>
    </xf>
    <xf numFmtId="0" fontId="4" fillId="0" borderId="6" xfId="2" applyBorder="1" applyAlignment="1">
      <alignment horizontal="left" vertical="center" wrapText="1"/>
    </xf>
    <xf numFmtId="0" fontId="4" fillId="0" borderId="39" xfId="2" applyBorder="1" applyAlignment="1">
      <alignment horizontal="left" vertical="center" wrapText="1"/>
    </xf>
    <xf numFmtId="0" fontId="4" fillId="0" borderId="24" xfId="2" applyBorder="1" applyAlignment="1">
      <alignment horizontal="left" vertical="center"/>
    </xf>
  </cellXfs>
  <cellStyles count="4">
    <cellStyle name="桁区切り 2" xfId="1" xr:uid="{00000000-0005-0000-0000-000000000000}"/>
    <cellStyle name="通貨" xfId="3" builtinId="7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P57"/>
  <sheetViews>
    <sheetView view="pageBreakPreview" zoomScaleNormal="100" zoomScaleSheetLayoutView="100" workbookViewId="0">
      <selection activeCell="L25" sqref="L25"/>
    </sheetView>
  </sheetViews>
  <sheetFormatPr defaultColWidth="9" defaultRowHeight="18" customHeight="1" thickTop="1" thickBottom="1" x14ac:dyDescent="0.35"/>
  <cols>
    <col min="1" max="1" width="3.5859375" style="6" customWidth="1"/>
    <col min="2" max="2" width="11" style="12" bestFit="1" customWidth="1"/>
    <col min="3" max="3" width="10.703125" style="6" bestFit="1" customWidth="1"/>
    <col min="4" max="4" width="8.41015625" style="6" bestFit="1" customWidth="1"/>
    <col min="5" max="5" width="9.41015625" style="6" bestFit="1" customWidth="1"/>
    <col min="6" max="6" width="7.703125" style="6" bestFit="1" customWidth="1"/>
    <col min="7" max="8" width="9.41015625" style="6" bestFit="1" customWidth="1"/>
    <col min="9" max="10" width="5.41015625" style="6" customWidth="1"/>
    <col min="11" max="11" width="15.1171875" style="12" customWidth="1"/>
    <col min="12" max="12" width="16.1171875" style="12" customWidth="1"/>
    <col min="13" max="13" width="9" style="6"/>
    <col min="14" max="14" width="0" style="6" hidden="1" customWidth="1"/>
    <col min="15" max="15" width="9" style="17" hidden="1" customWidth="1"/>
    <col min="16" max="16384" width="9" style="6"/>
  </cols>
  <sheetData>
    <row r="2" spans="2:16" ht="13.7" thickTop="1" thickBot="1" x14ac:dyDescent="0.35">
      <c r="B2" s="29"/>
      <c r="K2" s="29" t="s">
        <v>0</v>
      </c>
      <c r="L2" s="37">
        <f ca="1">TODAY()</f>
        <v>46010</v>
      </c>
    </row>
    <row r="3" spans="2:16" ht="13.7" thickTop="1" thickBot="1" x14ac:dyDescent="0.35">
      <c r="B3" s="6" t="s">
        <v>120</v>
      </c>
      <c r="K3" s="29" t="s">
        <v>1</v>
      </c>
      <c r="L3" s="12" t="s">
        <v>121</v>
      </c>
      <c r="O3" s="51"/>
      <c r="P3" s="37"/>
    </row>
    <row r="4" spans="2:16" ht="13.7" thickTop="1" thickBot="1" x14ac:dyDescent="0.35">
      <c r="B4" s="6" t="s">
        <v>2</v>
      </c>
      <c r="K4" s="6"/>
      <c r="L4" s="6"/>
      <c r="O4" s="51"/>
      <c r="P4" s="38"/>
    </row>
    <row r="5" spans="2:16" ht="13.7" thickTop="1" thickBot="1" x14ac:dyDescent="0.35">
      <c r="B5" s="6" t="s">
        <v>3</v>
      </c>
    </row>
    <row r="6" spans="2:16" ht="13.7" thickTop="1" thickBot="1" x14ac:dyDescent="0.35"/>
    <row r="7" spans="2:16" s="11" customFormat="1" ht="14.7" thickTop="1" thickBot="1" x14ac:dyDescent="0.35">
      <c r="B7" s="140" t="s">
        <v>4</v>
      </c>
      <c r="C7" s="140"/>
      <c r="D7" s="140"/>
      <c r="E7" s="140"/>
      <c r="F7" s="140"/>
      <c r="G7" s="140"/>
      <c r="H7" s="140"/>
      <c r="I7" s="140"/>
      <c r="J7" s="140"/>
      <c r="K7" s="140"/>
      <c r="L7" s="62"/>
      <c r="O7" s="19"/>
    </row>
    <row r="8" spans="2:16" ht="13.7" thickTop="1" thickBot="1" x14ac:dyDescent="0.35"/>
    <row r="9" spans="2:16" ht="13.7" thickTop="1" thickBot="1" x14ac:dyDescent="0.35">
      <c r="B9" s="4" t="s">
        <v>5</v>
      </c>
    </row>
    <row r="10" spans="2:16" s="1" customFormat="1" ht="26.7" thickTop="1" thickBot="1" x14ac:dyDescent="0.35">
      <c r="B10" s="43" t="s">
        <v>6</v>
      </c>
      <c r="C10" s="167" t="s">
        <v>7</v>
      </c>
      <c r="D10" s="167"/>
      <c r="E10" s="167"/>
      <c r="F10" s="167"/>
      <c r="G10" s="167"/>
      <c r="H10" s="167"/>
      <c r="I10" s="167"/>
      <c r="J10" s="168"/>
      <c r="K10" s="24" t="s">
        <v>8</v>
      </c>
      <c r="L10" s="43" t="s">
        <v>9</v>
      </c>
      <c r="O10" s="28" t="s">
        <v>10</v>
      </c>
    </row>
    <row r="11" spans="2:16" s="1" customFormat="1" ht="13.7" thickTop="1" thickBot="1" x14ac:dyDescent="0.35">
      <c r="B11" s="53" t="s">
        <v>11</v>
      </c>
      <c r="C11" s="92">
        <v>45125</v>
      </c>
      <c r="D11" s="178">
        <v>0.43958333333333333</v>
      </c>
      <c r="E11" s="178"/>
      <c r="F11" s="23" t="s">
        <v>12</v>
      </c>
      <c r="G11" s="23"/>
      <c r="H11" s="23"/>
      <c r="I11" s="23"/>
      <c r="J11" s="23"/>
      <c r="K11" s="25" t="s">
        <v>13</v>
      </c>
      <c r="L11" s="14" t="s">
        <v>122</v>
      </c>
      <c r="O11" s="17"/>
    </row>
    <row r="12" spans="2:16" s="1" customFormat="1" ht="13.7" thickTop="1" thickBot="1" x14ac:dyDescent="0.35">
      <c r="B12" s="54" t="s">
        <v>14</v>
      </c>
      <c r="C12" s="159" t="s">
        <v>15</v>
      </c>
      <c r="D12" s="160"/>
      <c r="E12" s="160"/>
      <c r="F12" s="160"/>
      <c r="G12" s="160"/>
      <c r="H12" s="160"/>
      <c r="I12" s="160"/>
      <c r="J12" s="161"/>
      <c r="K12" s="52" t="s">
        <v>13</v>
      </c>
      <c r="L12" s="48" t="s">
        <v>122</v>
      </c>
      <c r="O12" s="20"/>
    </row>
    <row r="13" spans="2:16" s="1" customFormat="1" ht="13.7" thickTop="1" thickBot="1" x14ac:dyDescent="0.35">
      <c r="B13" s="181" t="s">
        <v>16</v>
      </c>
      <c r="C13" s="162" t="s">
        <v>17</v>
      </c>
      <c r="D13" s="186" t="s">
        <v>18</v>
      </c>
      <c r="E13" s="187"/>
      <c r="F13" s="187"/>
      <c r="G13" s="187"/>
      <c r="H13" s="187"/>
      <c r="I13" s="187"/>
      <c r="J13" s="188"/>
      <c r="K13" s="141" t="s">
        <v>13</v>
      </c>
      <c r="L13" s="179" t="s">
        <v>122</v>
      </c>
      <c r="O13" s="20"/>
    </row>
    <row r="14" spans="2:16" s="1" customFormat="1" ht="13.7" thickTop="1" thickBot="1" x14ac:dyDescent="0.35">
      <c r="B14" s="182"/>
      <c r="C14" s="163"/>
      <c r="D14" s="189"/>
      <c r="E14" s="190"/>
      <c r="F14" s="190"/>
      <c r="G14" s="190"/>
      <c r="H14" s="190"/>
      <c r="I14" s="190"/>
      <c r="J14" s="191"/>
      <c r="K14" s="142"/>
      <c r="L14" s="180"/>
      <c r="O14" s="20"/>
    </row>
    <row r="15" spans="2:16" s="1" customFormat="1" ht="13.7" thickTop="1" thickBot="1" x14ac:dyDescent="0.35">
      <c r="B15" s="182"/>
      <c r="C15" s="162" t="s">
        <v>19</v>
      </c>
      <c r="D15" s="183" t="s">
        <v>20</v>
      </c>
      <c r="E15" s="184"/>
      <c r="F15" s="185"/>
      <c r="G15" s="9" t="s">
        <v>21</v>
      </c>
      <c r="H15" s="184" t="s">
        <v>22</v>
      </c>
      <c r="I15" s="184"/>
      <c r="J15" s="185"/>
      <c r="K15" s="141" t="s">
        <v>13</v>
      </c>
      <c r="L15" s="179" t="s">
        <v>122</v>
      </c>
      <c r="O15" s="20"/>
    </row>
    <row r="16" spans="2:16" s="1" customFormat="1" ht="13.7" thickTop="1" thickBot="1" x14ac:dyDescent="0.35">
      <c r="B16" s="152"/>
      <c r="C16" s="163"/>
      <c r="D16" s="9" t="s">
        <v>23</v>
      </c>
      <c r="E16" s="184" t="s">
        <v>24</v>
      </c>
      <c r="F16" s="185"/>
      <c r="G16" s="9" t="s">
        <v>25</v>
      </c>
      <c r="H16" s="184" t="s">
        <v>26</v>
      </c>
      <c r="I16" s="184"/>
      <c r="J16" s="185"/>
      <c r="K16" s="142"/>
      <c r="L16" s="180"/>
      <c r="O16" s="20"/>
    </row>
    <row r="17" spans="2:15" s="1" customFormat="1" ht="43.5" customHeight="1" thickTop="1" thickBot="1" x14ac:dyDescent="0.35">
      <c r="B17" s="55" t="s">
        <v>27</v>
      </c>
      <c r="C17" s="169" t="s">
        <v>28</v>
      </c>
      <c r="D17" s="170"/>
      <c r="E17" s="170"/>
      <c r="F17" s="170"/>
      <c r="G17" s="170"/>
      <c r="H17" s="170"/>
      <c r="I17" s="170"/>
      <c r="J17" s="171"/>
      <c r="K17" s="26" t="s">
        <v>29</v>
      </c>
      <c r="L17" s="15" t="s">
        <v>122</v>
      </c>
      <c r="N17" s="13" t="s">
        <v>30</v>
      </c>
      <c r="O17" s="20"/>
    </row>
    <row r="18" spans="2:15" s="1" customFormat="1" ht="18" customHeight="1" thickTop="1" thickBot="1" x14ac:dyDescent="0.35">
      <c r="B18" s="13"/>
      <c r="K18" s="13"/>
      <c r="L18" s="49"/>
      <c r="O18" s="20"/>
    </row>
    <row r="19" spans="2:15" s="1" customFormat="1" ht="18" customHeight="1" thickTop="1" thickBot="1" x14ac:dyDescent="0.35">
      <c r="B19" s="5" t="s">
        <v>31</v>
      </c>
      <c r="K19" s="13"/>
      <c r="L19" s="50"/>
      <c r="O19" s="20"/>
    </row>
    <row r="20" spans="2:15" s="1" customFormat="1" ht="13.7" thickTop="1" thickBot="1" x14ac:dyDescent="0.35">
      <c r="B20" s="43" t="s">
        <v>24</v>
      </c>
      <c r="C20" s="148" t="s">
        <v>32</v>
      </c>
      <c r="D20" s="149"/>
      <c r="E20" s="149"/>
      <c r="F20" s="149"/>
      <c r="G20" s="149"/>
      <c r="H20" s="149"/>
      <c r="I20" s="149"/>
      <c r="J20" s="150"/>
      <c r="K20" s="27"/>
      <c r="L20" s="22" t="s">
        <v>123</v>
      </c>
      <c r="O20" s="20"/>
    </row>
    <row r="21" spans="2:15" s="1" customFormat="1" ht="13.7" thickTop="1" thickBot="1" x14ac:dyDescent="0.35">
      <c r="B21" s="43" t="s">
        <v>24</v>
      </c>
      <c r="C21" s="148" t="s">
        <v>33</v>
      </c>
      <c r="D21" s="149"/>
      <c r="E21" s="149"/>
      <c r="F21" s="149"/>
      <c r="G21" s="149"/>
      <c r="H21" s="149"/>
      <c r="I21" s="149"/>
      <c r="J21" s="150"/>
      <c r="K21" s="27"/>
      <c r="L21" s="22" t="s">
        <v>123</v>
      </c>
      <c r="O21" s="20"/>
    </row>
    <row r="22" spans="2:15" s="1" customFormat="1" ht="18" customHeight="1" thickTop="1" thickBot="1" x14ac:dyDescent="0.35">
      <c r="B22" s="13"/>
      <c r="K22" s="13"/>
      <c r="L22" s="49"/>
      <c r="O22" s="20"/>
    </row>
    <row r="23" spans="2:15" s="1" customFormat="1" ht="18" customHeight="1" thickTop="1" thickBot="1" x14ac:dyDescent="0.35">
      <c r="B23" s="5" t="s">
        <v>34</v>
      </c>
      <c r="E23" s="7"/>
      <c r="F23" s="8"/>
      <c r="G23" s="3"/>
      <c r="K23" s="13"/>
      <c r="L23" s="50"/>
      <c r="O23" s="20"/>
    </row>
    <row r="24" spans="2:15" s="1" customFormat="1" ht="13.7" thickTop="1" thickBot="1" x14ac:dyDescent="0.35">
      <c r="B24" s="151" t="s">
        <v>35</v>
      </c>
      <c r="C24" s="172" t="s">
        <v>17</v>
      </c>
      <c r="D24" s="173"/>
      <c r="E24" s="16" t="s">
        <v>36</v>
      </c>
      <c r="F24" s="143">
        <v>13180</v>
      </c>
      <c r="G24" s="143"/>
      <c r="H24" s="157" t="str">
        <f>"（事故時"&amp;IFERROR(DATEDIF(F24,$C$11,"Y"),"　")&amp;"歳）"</f>
        <v>（事故時87歳）</v>
      </c>
      <c r="I24" s="158"/>
      <c r="J24" s="23"/>
      <c r="K24" s="25" t="s">
        <v>13</v>
      </c>
      <c r="L24" s="14" t="s">
        <v>122</v>
      </c>
      <c r="O24" s="20"/>
    </row>
    <row r="25" spans="2:15" s="1" customFormat="1" ht="13.7" thickTop="1" thickBot="1" x14ac:dyDescent="0.35">
      <c r="B25" s="152"/>
      <c r="C25" s="174"/>
      <c r="D25" s="175"/>
      <c r="E25" s="9" t="s">
        <v>37</v>
      </c>
      <c r="F25" s="146" t="s">
        <v>38</v>
      </c>
      <c r="G25" s="146"/>
      <c r="H25" s="146"/>
      <c r="I25" s="146"/>
      <c r="J25" s="147"/>
      <c r="K25" s="40" t="s">
        <v>39</v>
      </c>
      <c r="L25" s="48" t="s">
        <v>123</v>
      </c>
      <c r="O25" s="20"/>
    </row>
    <row r="26" spans="2:15" s="1" customFormat="1" ht="44.1" customHeight="1" thickTop="1" thickBot="1" x14ac:dyDescent="0.35">
      <c r="B26" s="56" t="s">
        <v>40</v>
      </c>
      <c r="C26" s="159" t="s">
        <v>41</v>
      </c>
      <c r="D26" s="160"/>
      <c r="E26" s="160"/>
      <c r="F26" s="160"/>
      <c r="G26" s="160"/>
      <c r="H26" s="160"/>
      <c r="I26" s="160"/>
      <c r="J26" s="161"/>
      <c r="K26" s="40" t="s">
        <v>42</v>
      </c>
      <c r="L26" s="48" t="s">
        <v>122</v>
      </c>
      <c r="O26" s="20"/>
    </row>
    <row r="27" spans="2:15" s="2" customFormat="1" ht="13.7" thickTop="1" thickBot="1" x14ac:dyDescent="0.35">
      <c r="B27" s="144" t="s">
        <v>43</v>
      </c>
      <c r="C27" s="176" t="s">
        <v>44</v>
      </c>
      <c r="D27" s="177"/>
      <c r="E27" s="177"/>
      <c r="F27" s="99" t="s">
        <v>45</v>
      </c>
      <c r="G27" s="99" t="s">
        <v>46</v>
      </c>
      <c r="H27" s="99" t="s">
        <v>47</v>
      </c>
      <c r="I27" s="87" t="s">
        <v>48</v>
      </c>
      <c r="J27" s="87" t="s">
        <v>49</v>
      </c>
      <c r="K27" s="42"/>
      <c r="L27" s="48"/>
      <c r="O27" s="21"/>
    </row>
    <row r="28" spans="2:15" s="1" customFormat="1" ht="13.7" thickTop="1" thickBot="1" x14ac:dyDescent="0.35">
      <c r="B28" s="144"/>
      <c r="C28" s="153" t="s">
        <v>50</v>
      </c>
      <c r="D28" s="154"/>
      <c r="E28" s="154"/>
      <c r="F28" s="57" t="s">
        <v>48</v>
      </c>
      <c r="G28" s="58">
        <v>45125</v>
      </c>
      <c r="H28" s="58">
        <v>45154</v>
      </c>
      <c r="I28" s="88">
        <f t="shared" ref="I28:I35" si="0">IF(F28="入院",H28-G28+1,"－")</f>
        <v>30</v>
      </c>
      <c r="J28" s="89"/>
      <c r="K28" s="42" t="s">
        <v>51</v>
      </c>
      <c r="L28" s="48" t="s">
        <v>122</v>
      </c>
      <c r="O28" s="20"/>
    </row>
    <row r="29" spans="2:15" s="1" customFormat="1" ht="13.7" thickTop="1" thickBot="1" x14ac:dyDescent="0.35">
      <c r="B29" s="144"/>
      <c r="C29" s="153" t="s">
        <v>52</v>
      </c>
      <c r="D29" s="154"/>
      <c r="E29" s="154"/>
      <c r="F29" s="58" t="s">
        <v>48</v>
      </c>
      <c r="G29" s="58">
        <v>45154</v>
      </c>
      <c r="H29" s="58">
        <v>45161</v>
      </c>
      <c r="I29" s="88">
        <f t="shared" si="0"/>
        <v>8</v>
      </c>
      <c r="J29" s="90"/>
      <c r="K29" s="42" t="s">
        <v>53</v>
      </c>
      <c r="L29" s="48" t="s">
        <v>122</v>
      </c>
      <c r="N29" s="20"/>
    </row>
    <row r="30" spans="2:15" s="1" customFormat="1" ht="13.7" thickTop="1" thickBot="1" x14ac:dyDescent="0.35">
      <c r="B30" s="144"/>
      <c r="C30" s="153" t="s">
        <v>50</v>
      </c>
      <c r="D30" s="154"/>
      <c r="E30" s="154"/>
      <c r="F30" s="58" t="s">
        <v>48</v>
      </c>
      <c r="G30" s="58">
        <v>45161</v>
      </c>
      <c r="H30" s="58">
        <v>45166</v>
      </c>
      <c r="I30" s="88">
        <f t="shared" si="0"/>
        <v>6</v>
      </c>
      <c r="J30" s="90"/>
      <c r="K30" s="42" t="s">
        <v>51</v>
      </c>
      <c r="L30" s="48" t="s">
        <v>122</v>
      </c>
      <c r="N30" s="20"/>
    </row>
    <row r="31" spans="2:15" s="1" customFormat="1" ht="13.7" thickTop="1" thickBot="1" x14ac:dyDescent="0.35">
      <c r="B31" s="144"/>
      <c r="C31" s="153" t="s">
        <v>52</v>
      </c>
      <c r="D31" s="154"/>
      <c r="E31" s="154"/>
      <c r="F31" s="58" t="s">
        <v>48</v>
      </c>
      <c r="G31" s="58">
        <v>45166</v>
      </c>
      <c r="H31" s="58">
        <v>45225</v>
      </c>
      <c r="I31" s="88">
        <f t="shared" si="0"/>
        <v>60</v>
      </c>
      <c r="J31" s="90"/>
      <c r="K31" s="42" t="s">
        <v>53</v>
      </c>
      <c r="L31" s="48" t="s">
        <v>122</v>
      </c>
      <c r="N31" s="20"/>
    </row>
    <row r="32" spans="2:15" s="1" customFormat="1" ht="13.7" thickTop="1" thickBot="1" x14ac:dyDescent="0.35">
      <c r="B32" s="144"/>
      <c r="C32" s="164" t="s">
        <v>50</v>
      </c>
      <c r="D32" s="165"/>
      <c r="E32" s="166"/>
      <c r="F32" s="58" t="s">
        <v>54</v>
      </c>
      <c r="G32" s="58">
        <v>45243</v>
      </c>
      <c r="H32" s="58">
        <v>45481</v>
      </c>
      <c r="I32" s="88" t="str">
        <f t="shared" si="0"/>
        <v>－</v>
      </c>
      <c r="J32" s="90">
        <v>3</v>
      </c>
      <c r="K32" s="42" t="s">
        <v>51</v>
      </c>
      <c r="L32" s="48" t="s">
        <v>122</v>
      </c>
      <c r="N32" s="20"/>
    </row>
    <row r="33" spans="2:15" s="1" customFormat="1" ht="13.7" thickTop="1" thickBot="1" x14ac:dyDescent="0.35">
      <c r="B33" s="144"/>
      <c r="C33" s="164" t="s">
        <v>55</v>
      </c>
      <c r="D33" s="165"/>
      <c r="E33" s="166"/>
      <c r="F33" s="58" t="s">
        <v>54</v>
      </c>
      <c r="G33" s="58">
        <v>45260</v>
      </c>
      <c r="H33" s="58">
        <v>45473</v>
      </c>
      <c r="I33" s="88" t="str">
        <f t="shared" si="0"/>
        <v>－</v>
      </c>
      <c r="J33" s="90">
        <v>69</v>
      </c>
      <c r="K33" s="42" t="s">
        <v>56</v>
      </c>
      <c r="L33" s="48" t="s">
        <v>122</v>
      </c>
      <c r="N33" s="20"/>
    </row>
    <row r="34" spans="2:15" s="1" customFormat="1" ht="13.7" thickTop="1" thickBot="1" x14ac:dyDescent="0.35">
      <c r="B34" s="144"/>
      <c r="C34" s="164"/>
      <c r="D34" s="165"/>
      <c r="E34" s="166"/>
      <c r="F34" s="58"/>
      <c r="G34" s="58"/>
      <c r="H34" s="58"/>
      <c r="I34" s="88"/>
      <c r="J34" s="90"/>
      <c r="K34" s="42"/>
      <c r="L34" s="48"/>
      <c r="N34" s="20"/>
    </row>
    <row r="35" spans="2:15" s="1" customFormat="1" ht="13.7" thickTop="1" thickBot="1" x14ac:dyDescent="0.35">
      <c r="B35" s="144"/>
      <c r="C35" s="153"/>
      <c r="D35" s="154"/>
      <c r="E35" s="154"/>
      <c r="F35" s="58"/>
      <c r="G35" s="58"/>
      <c r="H35" s="58"/>
      <c r="I35" s="88" t="str">
        <f t="shared" si="0"/>
        <v>－</v>
      </c>
      <c r="J35" s="90"/>
      <c r="K35" s="42"/>
      <c r="L35" s="48"/>
      <c r="N35" s="20"/>
    </row>
    <row r="36" spans="2:15" s="1" customFormat="1" ht="13.7" thickTop="1" thickBot="1" x14ac:dyDescent="0.35">
      <c r="B36" s="144"/>
      <c r="C36" s="153" t="s">
        <v>57</v>
      </c>
      <c r="D36" s="154"/>
      <c r="E36" s="154"/>
      <c r="F36" s="58"/>
      <c r="G36" s="58"/>
      <c r="H36" s="58"/>
      <c r="I36" s="91">
        <v>-3</v>
      </c>
      <c r="J36" s="90">
        <v>0</v>
      </c>
      <c r="K36" s="42"/>
      <c r="L36" s="48" t="s">
        <v>122</v>
      </c>
      <c r="N36" s="20"/>
    </row>
    <row r="37" spans="2:15" s="1" customFormat="1" ht="13.7" thickTop="1" thickBot="1" x14ac:dyDescent="0.35">
      <c r="B37" s="145"/>
      <c r="C37" s="155"/>
      <c r="D37" s="156"/>
      <c r="E37" s="156"/>
      <c r="F37" s="100" t="s">
        <v>58</v>
      </c>
      <c r="G37" s="101">
        <f ca="1">MIN(G28:INDIRECT("R"&amp;ROW()-1&amp;"C"&amp;COLUMN(),FALSE))</f>
        <v>45125</v>
      </c>
      <c r="H37" s="101">
        <f ca="1">MAX(H28:INDIRECT("R"&amp;ROW()-1&amp;"C"&amp;COLUMN(),FALSE))</f>
        <v>45481</v>
      </c>
      <c r="I37" s="102">
        <f ca="1">SUM(I28:INDIRECT("R"&amp;ROW()-1&amp;"C"&amp;COLUMN(),FALSE))</f>
        <v>101</v>
      </c>
      <c r="J37" s="103">
        <f ca="1">SUM(J28:INDIRECT("R"&amp;ROW()-1&amp;"C"&amp;COLUMN(),FALSE))</f>
        <v>72</v>
      </c>
      <c r="K37" s="26"/>
      <c r="L37" s="15" t="s">
        <v>122</v>
      </c>
      <c r="O37" s="20"/>
    </row>
    <row r="40" spans="2:15" ht="18" customHeight="1" x14ac:dyDescent="0.3"/>
    <row r="41" spans="2:15" ht="18" customHeight="1" x14ac:dyDescent="0.3"/>
    <row r="42" spans="2:15" ht="18" customHeight="1" x14ac:dyDescent="0.3"/>
    <row r="44" spans="2:15" ht="18" customHeight="1" x14ac:dyDescent="0.3"/>
    <row r="45" spans="2:15" ht="18" customHeight="1" x14ac:dyDescent="0.3"/>
    <row r="46" spans="2:15" ht="18" customHeight="1" x14ac:dyDescent="0.3"/>
    <row r="48" spans="2:15" ht="18" customHeight="1" x14ac:dyDescent="0.3"/>
    <row r="49" ht="18" customHeight="1" x14ac:dyDescent="0.3"/>
    <row r="50" ht="18" customHeight="1" x14ac:dyDescent="0.3"/>
    <row r="51" ht="18" customHeight="1" x14ac:dyDescent="0.3"/>
    <row r="53" ht="18" customHeight="1" x14ac:dyDescent="0.3"/>
    <row r="54" ht="18" customHeight="1" x14ac:dyDescent="0.3"/>
    <row r="55" ht="18" customHeight="1" x14ac:dyDescent="0.3"/>
    <row r="57" ht="18" customHeight="1" x14ac:dyDescent="0.3"/>
  </sheetData>
  <mergeCells count="37">
    <mergeCell ref="L13:L14"/>
    <mergeCell ref="L15:L16"/>
    <mergeCell ref="B13:B16"/>
    <mergeCell ref="D15:F15"/>
    <mergeCell ref="H15:J15"/>
    <mergeCell ref="C15:C16"/>
    <mergeCell ref="E16:F16"/>
    <mergeCell ref="H16:J16"/>
    <mergeCell ref="K13:K14"/>
    <mergeCell ref="D13:J14"/>
    <mergeCell ref="C10:J10"/>
    <mergeCell ref="C17:J17"/>
    <mergeCell ref="C24:D25"/>
    <mergeCell ref="C26:J26"/>
    <mergeCell ref="C27:E27"/>
    <mergeCell ref="D11:E11"/>
    <mergeCell ref="C30:E30"/>
    <mergeCell ref="C31:E31"/>
    <mergeCell ref="C32:E32"/>
    <mergeCell ref="C33:E33"/>
    <mergeCell ref="C34:E34"/>
    <mergeCell ref="B7:K7"/>
    <mergeCell ref="K15:K16"/>
    <mergeCell ref="F24:G24"/>
    <mergeCell ref="B27:B37"/>
    <mergeCell ref="F25:J25"/>
    <mergeCell ref="C20:J20"/>
    <mergeCell ref="C21:J21"/>
    <mergeCell ref="B24:B25"/>
    <mergeCell ref="C28:E28"/>
    <mergeCell ref="C29:E29"/>
    <mergeCell ref="C35:E35"/>
    <mergeCell ref="C37:E37"/>
    <mergeCell ref="H24:I24"/>
    <mergeCell ref="C12:J12"/>
    <mergeCell ref="C13:C14"/>
    <mergeCell ref="C36:E36"/>
  </mergeCells>
  <phoneticPr fontId="2"/>
  <pageMargins left="0.78740157480314965" right="0.39370078740157483" top="0.78740157480314965" bottom="0.59055118110236227" header="0.39370078740157483" footer="0.39370078740157483"/>
  <pageSetup paperSize="9" scale="85" fitToHeight="0" orientation="portrait" r:id="rId1"/>
  <headerFooter>
    <oddHeader>&amp;L（別紙１）</oddHeader>
    <oddFooter>&amp;C６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1"/>
  <sheetViews>
    <sheetView tabSelected="1" view="pageBreakPreview" topLeftCell="A5" zoomScale="85" zoomScaleNormal="70" zoomScaleSheetLayoutView="85" workbookViewId="0">
      <selection activeCell="H27" sqref="H27"/>
    </sheetView>
  </sheetViews>
  <sheetFormatPr defaultColWidth="9" defaultRowHeight="13.7" thickTop="1" thickBottom="1" x14ac:dyDescent="0.35"/>
  <cols>
    <col min="1" max="1" width="3.5859375" style="30" customWidth="1"/>
    <col min="2" max="2" width="24.41015625" style="30" bestFit="1" customWidth="1"/>
    <col min="3" max="3" width="25.41015625" style="75" customWidth="1"/>
    <col min="4" max="4" width="12.87890625" style="113" bestFit="1" customWidth="1"/>
    <col min="5" max="5" width="34.5859375" style="31" customWidth="1"/>
    <col min="6" max="6" width="11.1171875" style="31" customWidth="1"/>
    <col min="7" max="7" width="13.29296875" style="75" customWidth="1"/>
    <col min="8" max="8" width="30" style="31" customWidth="1"/>
    <col min="9" max="9" width="13.29296875" style="75" customWidth="1"/>
    <col min="10" max="10" width="30" style="31" customWidth="1"/>
    <col min="11" max="11" width="9" style="30"/>
    <col min="12" max="12" width="9" style="32" hidden="1" customWidth="1"/>
    <col min="13" max="16384" width="9" style="30"/>
  </cols>
  <sheetData>
    <row r="2" spans="2:12" s="6" customFormat="1" thickTop="1" thickBot="1" x14ac:dyDescent="0.35">
      <c r="B2" s="6" t="str">
        <f>別紙1!B3</f>
        <v>令和７年（ワ）第２０７０号</v>
      </c>
      <c r="C2" s="73"/>
      <c r="D2" s="113"/>
      <c r="E2" s="12"/>
      <c r="F2" s="12"/>
      <c r="G2" s="85"/>
      <c r="H2" s="36" t="str">
        <f ca="1">"最終更新日："&amp;TEXT(TODAY(),"[$-411]ge.m.d(aaa)")</f>
        <v>最終更新日：R7.12.19(金)</v>
      </c>
      <c r="I2" s="85" t="s">
        <v>59</v>
      </c>
      <c r="J2" s="98" t="str">
        <f>TEXT(別紙1!C11,"[$-411]ge.m.d")&amp;別紙1!H24</f>
        <v>R5.7.18（事故時87歳）</v>
      </c>
      <c r="K2" s="29"/>
      <c r="L2" s="17"/>
    </row>
    <row r="3" spans="2:12" s="6" customFormat="1" thickTop="1" thickBot="1" x14ac:dyDescent="0.35">
      <c r="B3" s="6" t="str">
        <f>別紙1!B4</f>
        <v>原告　大浦榮子</v>
      </c>
      <c r="C3" s="73"/>
      <c r="D3" s="113"/>
      <c r="E3" s="12"/>
      <c r="F3" s="12"/>
      <c r="G3" s="85"/>
      <c r="H3" s="36" t="s">
        <v>124</v>
      </c>
      <c r="I3" s="85" t="s">
        <v>60</v>
      </c>
      <c r="J3" s="139">
        <v>45481</v>
      </c>
      <c r="K3" s="29"/>
      <c r="L3" s="17"/>
    </row>
    <row r="4" spans="2:12" s="6" customFormat="1" thickTop="1" thickBot="1" x14ac:dyDescent="0.35">
      <c r="B4" s="6" t="str">
        <f>別紙1!B5</f>
        <v>被告　正木迅生</v>
      </c>
      <c r="C4" s="73"/>
      <c r="D4" s="113"/>
      <c r="E4" s="12"/>
      <c r="F4" s="12"/>
      <c r="G4" s="73"/>
      <c r="I4" s="73"/>
      <c r="J4" s="12"/>
      <c r="K4" s="12"/>
      <c r="L4" s="17"/>
    </row>
    <row r="5" spans="2:12" s="6" customFormat="1" thickTop="1" thickBot="1" x14ac:dyDescent="0.35">
      <c r="B5" s="12"/>
      <c r="C5" s="73"/>
      <c r="D5" s="113"/>
      <c r="E5" s="12"/>
      <c r="F5" s="12"/>
      <c r="G5" s="73"/>
      <c r="H5" s="12"/>
      <c r="I5" s="73"/>
      <c r="J5" s="12"/>
      <c r="K5" s="12"/>
      <c r="L5" s="17"/>
    </row>
    <row r="6" spans="2:12" s="10" customFormat="1" ht="14.7" thickTop="1" thickBot="1" x14ac:dyDescent="0.35">
      <c r="B6" s="206" t="s">
        <v>61</v>
      </c>
      <c r="C6" s="206"/>
      <c r="D6" s="206"/>
      <c r="E6" s="64"/>
      <c r="F6" s="64"/>
      <c r="G6" s="86"/>
      <c r="H6" s="63"/>
      <c r="I6" s="86"/>
      <c r="J6" s="63"/>
      <c r="K6" s="41"/>
      <c r="L6" s="18"/>
    </row>
    <row r="7" spans="2:12" s="10" customFormat="1" ht="14.7" thickTop="1" thickBot="1" x14ac:dyDescent="0.35">
      <c r="B7" s="64"/>
      <c r="C7" s="74"/>
      <c r="D7" s="114"/>
      <c r="E7" s="64"/>
      <c r="F7" s="64"/>
      <c r="G7" s="74"/>
      <c r="H7" s="64"/>
      <c r="I7" s="74"/>
      <c r="J7" s="64"/>
      <c r="K7" s="41"/>
      <c r="L7" s="18"/>
    </row>
    <row r="8" spans="2:12" thickTop="1" thickBot="1" x14ac:dyDescent="0.35">
      <c r="B8" s="61" t="s">
        <v>62</v>
      </c>
    </row>
    <row r="9" spans="2:12" ht="26.7" thickTop="1" thickBot="1" x14ac:dyDescent="0.35">
      <c r="B9" s="95" t="s">
        <v>6</v>
      </c>
      <c r="C9" s="96" t="s">
        <v>63</v>
      </c>
      <c r="D9" s="207" t="s">
        <v>64</v>
      </c>
      <c r="E9" s="208"/>
      <c r="F9" s="95" t="s">
        <v>65</v>
      </c>
      <c r="G9" s="96" t="s">
        <v>66</v>
      </c>
      <c r="H9" s="97" t="s">
        <v>67</v>
      </c>
      <c r="I9" s="96" t="s">
        <v>68</v>
      </c>
      <c r="J9" s="97" t="s">
        <v>67</v>
      </c>
    </row>
    <row r="10" spans="2:12" thickTop="1" thickBot="1" x14ac:dyDescent="0.35">
      <c r="B10" s="209" t="s">
        <v>69</v>
      </c>
      <c r="C10" s="212">
        <f>SUM(D10:D12)</f>
        <v>585841</v>
      </c>
      <c r="D10" s="115">
        <f>71860+77560+7200+580+650+1330+530</f>
        <v>159710</v>
      </c>
      <c r="E10" s="33" t="s">
        <v>50</v>
      </c>
      <c r="F10" s="109" t="s">
        <v>70</v>
      </c>
      <c r="G10" s="76">
        <f>D10</f>
        <v>159710</v>
      </c>
      <c r="H10" s="33"/>
      <c r="I10" s="76"/>
      <c r="J10" s="33"/>
    </row>
    <row r="11" spans="2:12" thickTop="1" thickBot="1" x14ac:dyDescent="0.35">
      <c r="B11" s="210"/>
      <c r="C11" s="197"/>
      <c r="D11" s="116">
        <f>45320+19330+118984+116520</f>
        <v>300154</v>
      </c>
      <c r="E11" s="107" t="s">
        <v>52</v>
      </c>
      <c r="F11" s="59" t="s">
        <v>71</v>
      </c>
      <c r="G11" s="106">
        <f>D11</f>
        <v>300154</v>
      </c>
      <c r="H11" s="107"/>
      <c r="I11" s="106"/>
      <c r="J11" s="107"/>
    </row>
    <row r="12" spans="2:12" thickTop="1" thickBot="1" x14ac:dyDescent="0.35">
      <c r="B12" s="211"/>
      <c r="C12" s="196"/>
      <c r="D12" s="116">
        <v>125977</v>
      </c>
      <c r="E12" s="107" t="s">
        <v>55</v>
      </c>
      <c r="F12" s="59" t="s">
        <v>56</v>
      </c>
      <c r="G12" s="106">
        <f>D12</f>
        <v>125977</v>
      </c>
      <c r="H12" s="107"/>
      <c r="I12" s="106"/>
      <c r="J12" s="107"/>
    </row>
    <row r="13" spans="2:12" ht="39.700000000000003" thickTop="1" thickBot="1" x14ac:dyDescent="0.35">
      <c r="B13" s="108" t="s">
        <v>72</v>
      </c>
      <c r="C13" s="106">
        <f>3300+11000+300+300</f>
        <v>14900</v>
      </c>
      <c r="D13" s="215" t="s">
        <v>73</v>
      </c>
      <c r="E13" s="216"/>
      <c r="F13" s="59" t="s">
        <v>74</v>
      </c>
      <c r="G13" s="106">
        <f>C13</f>
        <v>14900</v>
      </c>
      <c r="H13" s="107"/>
      <c r="I13" s="106"/>
      <c r="J13" s="107"/>
    </row>
    <row r="14" spans="2:12" thickTop="1" thickBot="1" x14ac:dyDescent="0.35">
      <c r="B14" s="108" t="s">
        <v>75</v>
      </c>
      <c r="C14" s="106">
        <v>38998</v>
      </c>
      <c r="D14" s="129"/>
      <c r="E14" s="130"/>
      <c r="F14" s="59" t="s">
        <v>76</v>
      </c>
      <c r="G14" s="106">
        <f t="shared" ref="G14:G18" si="0">C14</f>
        <v>38998</v>
      </c>
      <c r="H14" s="107"/>
      <c r="I14" s="106"/>
      <c r="J14" s="107"/>
    </row>
    <row r="15" spans="2:12" thickTop="1" thickBot="1" x14ac:dyDescent="0.35">
      <c r="B15" s="217" t="s">
        <v>77</v>
      </c>
      <c r="C15" s="195">
        <f>D15+D16</f>
        <v>129646</v>
      </c>
      <c r="D15" s="131">
        <f>12474+19602</f>
        <v>32076</v>
      </c>
      <c r="E15" s="121" t="s">
        <v>78</v>
      </c>
      <c r="F15" s="59" t="s">
        <v>79</v>
      </c>
      <c r="G15" s="106">
        <f>D15</f>
        <v>32076</v>
      </c>
      <c r="H15" s="107"/>
      <c r="I15" s="106"/>
      <c r="J15" s="107"/>
    </row>
    <row r="16" spans="2:12" ht="14.1" customHeight="1" thickTop="1" thickBot="1" x14ac:dyDescent="0.35">
      <c r="B16" s="211"/>
      <c r="C16" s="196"/>
      <c r="D16" s="129">
        <v>97570</v>
      </c>
      <c r="E16" s="130" t="s">
        <v>80</v>
      </c>
      <c r="F16" s="59" t="s">
        <v>81</v>
      </c>
      <c r="G16" s="106">
        <f>D16</f>
        <v>97570</v>
      </c>
      <c r="H16" s="107"/>
      <c r="I16" s="106"/>
      <c r="J16" s="107"/>
    </row>
    <row r="17" spans="2:12" ht="27" customHeight="1" thickTop="1" thickBot="1" x14ac:dyDescent="0.35">
      <c r="B17" s="44" t="s">
        <v>82</v>
      </c>
      <c r="C17" s="77">
        <f>1500*101</f>
        <v>151500</v>
      </c>
      <c r="D17" s="213" t="s">
        <v>83</v>
      </c>
      <c r="E17" s="214"/>
      <c r="F17" s="110"/>
      <c r="G17" s="106">
        <f t="shared" si="0"/>
        <v>151500</v>
      </c>
      <c r="H17" s="34"/>
      <c r="I17" s="77"/>
      <c r="J17" s="34"/>
    </row>
    <row r="18" spans="2:12" thickTop="1" thickBot="1" x14ac:dyDescent="0.35">
      <c r="B18" s="44" t="s">
        <v>84</v>
      </c>
      <c r="C18" s="77">
        <f>5720+5800</f>
        <v>11520</v>
      </c>
      <c r="D18" s="213" t="s">
        <v>85</v>
      </c>
      <c r="E18" s="214"/>
      <c r="F18" s="110" t="s">
        <v>86</v>
      </c>
      <c r="G18" s="106">
        <f t="shared" si="0"/>
        <v>11520</v>
      </c>
      <c r="H18" s="34"/>
      <c r="I18" s="77"/>
      <c r="J18" s="34"/>
    </row>
    <row r="19" spans="2:12" thickTop="1" thickBot="1" x14ac:dyDescent="0.35">
      <c r="B19" s="44" t="s">
        <v>87</v>
      </c>
      <c r="C19" s="77">
        <f>3300*3</f>
        <v>9900</v>
      </c>
      <c r="D19" s="213" t="s">
        <v>88</v>
      </c>
      <c r="E19" s="214"/>
      <c r="F19" s="59"/>
      <c r="G19" s="106">
        <v>0</v>
      </c>
      <c r="H19" s="34" t="s">
        <v>126</v>
      </c>
      <c r="I19" s="78"/>
      <c r="J19" s="34"/>
    </row>
    <row r="20" spans="2:12" ht="27" customHeight="1" thickTop="1" thickBot="1" x14ac:dyDescent="0.35">
      <c r="B20" s="46" t="s">
        <v>89</v>
      </c>
      <c r="C20" s="79">
        <v>75470</v>
      </c>
      <c r="D20" s="202" t="s">
        <v>90</v>
      </c>
      <c r="E20" s="203"/>
      <c r="F20" s="111" t="s">
        <v>91</v>
      </c>
      <c r="G20" s="79">
        <f>C20</f>
        <v>75470</v>
      </c>
      <c r="H20" s="39"/>
      <c r="I20" s="79"/>
      <c r="J20" s="39"/>
    </row>
    <row r="21" spans="2:12" ht="27" customHeight="1" thickTop="1" thickBot="1" x14ac:dyDescent="0.35">
      <c r="B21" s="122" t="s">
        <v>92</v>
      </c>
      <c r="C21" s="124">
        <v>9130</v>
      </c>
      <c r="D21" s="125"/>
      <c r="E21" s="126"/>
      <c r="F21" s="127" t="s">
        <v>93</v>
      </c>
      <c r="G21" s="124">
        <f>C21</f>
        <v>9130</v>
      </c>
      <c r="H21" s="128"/>
      <c r="I21" s="124"/>
      <c r="J21" s="128"/>
    </row>
    <row r="22" spans="2:12" ht="47.45" customHeight="1" thickTop="1" thickBot="1" x14ac:dyDescent="0.35">
      <c r="B22" s="135" t="s">
        <v>94</v>
      </c>
      <c r="C22" s="136">
        <v>1401473</v>
      </c>
      <c r="D22" s="200" t="s">
        <v>95</v>
      </c>
      <c r="E22" s="201"/>
      <c r="F22" s="104" t="s">
        <v>39</v>
      </c>
      <c r="G22" s="82">
        <v>0</v>
      </c>
      <c r="H22" s="33" t="s">
        <v>125</v>
      </c>
      <c r="I22" s="82"/>
      <c r="J22" s="33"/>
    </row>
    <row r="23" spans="2:12" ht="56.1" customHeight="1" thickTop="1" thickBot="1" x14ac:dyDescent="0.35">
      <c r="B23" s="133" t="s">
        <v>96</v>
      </c>
      <c r="C23" s="134">
        <f>ROUND(2956900*14%*2.8286,0)</f>
        <v>1170944</v>
      </c>
      <c r="D23" s="200" t="s">
        <v>97</v>
      </c>
      <c r="E23" s="201"/>
      <c r="F23" s="104" t="s">
        <v>98</v>
      </c>
      <c r="G23" s="78">
        <v>0</v>
      </c>
      <c r="H23" s="34" t="s">
        <v>127</v>
      </c>
      <c r="I23" s="78"/>
      <c r="J23" s="34"/>
    </row>
    <row r="24" spans="2:12" ht="72.95" customHeight="1" thickTop="1" thickBot="1" x14ac:dyDescent="0.35">
      <c r="B24" s="105" t="s">
        <v>99</v>
      </c>
      <c r="C24" s="106">
        <f>2336666*1.3</f>
        <v>3037665.8000000003</v>
      </c>
      <c r="D24" s="200" t="s">
        <v>100</v>
      </c>
      <c r="E24" s="201"/>
      <c r="F24" s="120" t="s">
        <v>101</v>
      </c>
      <c r="G24" s="106">
        <v>2336666</v>
      </c>
      <c r="H24" s="107" t="s">
        <v>128</v>
      </c>
      <c r="I24" s="106"/>
      <c r="J24" s="107"/>
    </row>
    <row r="25" spans="2:12" ht="63" customHeight="1" thickTop="1" thickBot="1" x14ac:dyDescent="0.35">
      <c r="B25" s="46" t="s">
        <v>102</v>
      </c>
      <c r="C25" s="80">
        <f>2900000*1.3</f>
        <v>3770000</v>
      </c>
      <c r="D25" s="202" t="s">
        <v>103</v>
      </c>
      <c r="E25" s="203"/>
      <c r="F25" s="111" t="s">
        <v>104</v>
      </c>
      <c r="G25" s="80">
        <v>2900000</v>
      </c>
      <c r="H25" s="39" t="s">
        <v>129</v>
      </c>
      <c r="I25" s="80"/>
      <c r="J25" s="39"/>
    </row>
    <row r="26" spans="2:12" s="65" customFormat="1" thickTop="1" thickBot="1" x14ac:dyDescent="0.35">
      <c r="B26" s="93" t="s">
        <v>105</v>
      </c>
      <c r="C26" s="81">
        <f>SUM(C10:C25)</f>
        <v>10406987.800000001</v>
      </c>
      <c r="D26" s="204"/>
      <c r="E26" s="205"/>
      <c r="F26" s="132"/>
      <c r="G26" s="81">
        <f>SUM(G10:G25)</f>
        <v>6253671</v>
      </c>
      <c r="H26" s="94"/>
      <c r="I26" s="81">
        <f>SUM(I10:I25)</f>
        <v>0</v>
      </c>
      <c r="J26" s="94"/>
      <c r="L26" s="66"/>
    </row>
    <row r="27" spans="2:12" ht="41.45" customHeight="1" thickTop="1" thickBot="1" x14ac:dyDescent="0.35">
      <c r="B27" s="45" t="s">
        <v>106</v>
      </c>
      <c r="C27" s="60">
        <v>0</v>
      </c>
      <c r="D27" s="200" t="s">
        <v>107</v>
      </c>
      <c r="E27" s="201"/>
      <c r="F27" s="109" t="s">
        <v>29</v>
      </c>
      <c r="G27" s="47">
        <v>0.2</v>
      </c>
      <c r="H27" s="33" t="s">
        <v>130</v>
      </c>
      <c r="I27" s="47"/>
      <c r="J27" s="33"/>
      <c r="L27" s="35"/>
    </row>
    <row r="28" spans="2:12" s="65" customFormat="1" thickTop="1" thickBot="1" x14ac:dyDescent="0.35">
      <c r="B28" s="67" t="s">
        <v>108</v>
      </c>
      <c r="C28" s="83">
        <f>C26-INT(C26*C27)</f>
        <v>10406987.800000001</v>
      </c>
      <c r="D28" s="198"/>
      <c r="E28" s="199"/>
      <c r="F28" s="137"/>
      <c r="G28" s="83">
        <f>G26-INT(G26*G27)</f>
        <v>5002937</v>
      </c>
      <c r="H28" s="68"/>
      <c r="I28" s="83">
        <f>I26-INT(I26*I27)</f>
        <v>0</v>
      </c>
      <c r="J28" s="68"/>
      <c r="L28" s="66"/>
    </row>
    <row r="29" spans="2:12" thickTop="1" thickBot="1" x14ac:dyDescent="0.35">
      <c r="B29" s="45" t="s">
        <v>109</v>
      </c>
      <c r="C29" s="82"/>
      <c r="D29" s="115"/>
      <c r="E29" s="33"/>
      <c r="F29" s="120"/>
      <c r="G29" s="82"/>
      <c r="H29" s="33"/>
      <c r="I29" s="82"/>
      <c r="J29" s="33"/>
    </row>
    <row r="30" spans="2:12" thickTop="1" thickBot="1" x14ac:dyDescent="0.35">
      <c r="B30" s="192" t="s">
        <v>110</v>
      </c>
      <c r="C30" s="195">
        <f>D30+D31</f>
        <v>-970585</v>
      </c>
      <c r="D30" s="117">
        <v>-1110010</v>
      </c>
      <c r="E30" s="123" t="s">
        <v>111</v>
      </c>
      <c r="F30" s="59" t="s">
        <v>112</v>
      </c>
      <c r="G30" s="78">
        <f>D30</f>
        <v>-1110010</v>
      </c>
      <c r="H30" s="34"/>
      <c r="I30" s="78"/>
      <c r="J30" s="34"/>
    </row>
    <row r="31" spans="2:12" thickTop="1" thickBot="1" x14ac:dyDescent="0.35">
      <c r="B31" s="193"/>
      <c r="C31" s="196"/>
      <c r="D31" s="117">
        <f>ROUND(C28*3%/365*163,0)</f>
        <v>139425</v>
      </c>
      <c r="E31" s="34" t="s">
        <v>113</v>
      </c>
      <c r="F31" s="59"/>
      <c r="G31" s="78">
        <f t="shared" ref="G31:G35" si="1">D31</f>
        <v>139425</v>
      </c>
      <c r="H31" s="34"/>
      <c r="I31" s="78"/>
      <c r="J31" s="34"/>
    </row>
    <row r="32" spans="2:12" thickTop="1" thickBot="1" x14ac:dyDescent="0.35">
      <c r="B32" s="193"/>
      <c r="C32" s="195">
        <f>D32+D33</f>
        <v>-62069</v>
      </c>
      <c r="D32" s="117">
        <v>-89990</v>
      </c>
      <c r="E32" s="34" t="s">
        <v>114</v>
      </c>
      <c r="F32" s="59" t="s">
        <v>112</v>
      </c>
      <c r="G32" s="78">
        <f t="shared" si="1"/>
        <v>-89990</v>
      </c>
      <c r="H32" s="34"/>
      <c r="I32" s="78"/>
      <c r="J32" s="34"/>
    </row>
    <row r="33" spans="2:12" thickTop="1" thickBot="1" x14ac:dyDescent="0.35">
      <c r="B33" s="193"/>
      <c r="C33" s="196"/>
      <c r="D33" s="117">
        <f>ROUND((C28+C30)*3%/365*36,0)</f>
        <v>27921</v>
      </c>
      <c r="E33" s="34" t="s">
        <v>115</v>
      </c>
      <c r="F33" s="59"/>
      <c r="G33" s="78">
        <f t="shared" si="1"/>
        <v>27921</v>
      </c>
      <c r="H33" s="34"/>
      <c r="I33" s="78"/>
      <c r="J33" s="34"/>
    </row>
    <row r="34" spans="2:12" thickTop="1" thickBot="1" x14ac:dyDescent="0.35">
      <c r="B34" s="193"/>
      <c r="C34" s="197">
        <f>D34+D35</f>
        <v>-1786465</v>
      </c>
      <c r="D34" s="117">
        <v>-2070000</v>
      </c>
      <c r="E34" s="34" t="s">
        <v>116</v>
      </c>
      <c r="F34" s="59" t="s">
        <v>112</v>
      </c>
      <c r="G34" s="78">
        <f t="shared" si="1"/>
        <v>-2070000</v>
      </c>
      <c r="H34" s="34"/>
      <c r="I34" s="78"/>
      <c r="J34" s="34"/>
    </row>
    <row r="35" spans="2:12" thickTop="1" thickBot="1" x14ac:dyDescent="0.35">
      <c r="B35" s="194"/>
      <c r="C35" s="196"/>
      <c r="D35" s="117">
        <f>ROUND((C28+C30+C32)*3%/366*369,0)</f>
        <v>283535</v>
      </c>
      <c r="E35" s="34" t="s">
        <v>115</v>
      </c>
      <c r="F35" s="59"/>
      <c r="G35" s="78">
        <f t="shared" si="1"/>
        <v>283535</v>
      </c>
      <c r="H35" s="34"/>
      <c r="I35" s="77"/>
      <c r="J35" s="34"/>
    </row>
    <row r="36" spans="2:12" s="65" customFormat="1" thickTop="1" thickBot="1" x14ac:dyDescent="0.35">
      <c r="B36" s="67" t="s">
        <v>117</v>
      </c>
      <c r="C36" s="83">
        <f>SUM(C28:C35)</f>
        <v>7587868.8000000007</v>
      </c>
      <c r="D36" s="118"/>
      <c r="E36" s="68"/>
      <c r="F36" s="138"/>
      <c r="G36" s="83">
        <f>SUM(G28:G35)</f>
        <v>2183818</v>
      </c>
      <c r="H36" s="68"/>
      <c r="I36" s="83">
        <f>SUM(I28:I35)</f>
        <v>0</v>
      </c>
      <c r="J36" s="68"/>
      <c r="L36" s="66"/>
    </row>
    <row r="37" spans="2:12" thickTop="1" thickBot="1" x14ac:dyDescent="0.35">
      <c r="B37" s="45" t="s">
        <v>118</v>
      </c>
      <c r="C37" s="82">
        <f>ROUND(C36*10%,0)</f>
        <v>758787</v>
      </c>
      <c r="D37" s="115"/>
      <c r="E37" s="33"/>
      <c r="F37" s="120"/>
      <c r="G37" s="82">
        <f>ROUND(G36*10%,0)</f>
        <v>218382</v>
      </c>
      <c r="H37" s="33"/>
      <c r="I37" s="82"/>
      <c r="J37" s="33"/>
    </row>
    <row r="38" spans="2:12" s="71" customFormat="1" thickTop="1" thickBot="1" x14ac:dyDescent="0.35">
      <c r="B38" s="69" t="s">
        <v>119</v>
      </c>
      <c r="C38" s="84">
        <f>SUM(C36:C37)</f>
        <v>8346655.8000000007</v>
      </c>
      <c r="D38" s="119"/>
      <c r="E38" s="70"/>
      <c r="F38" s="112"/>
      <c r="G38" s="84">
        <f>SUM(G36:G37)</f>
        <v>2402200</v>
      </c>
      <c r="H38" s="70"/>
      <c r="I38" s="84">
        <f>SUM(I36:I37)</f>
        <v>0</v>
      </c>
      <c r="J38" s="70"/>
      <c r="L38" s="72"/>
    </row>
    <row r="41" spans="2:12" ht="13" x14ac:dyDescent="0.3"/>
    <row r="42" spans="2:12" ht="13" x14ac:dyDescent="0.3"/>
    <row r="43" spans="2:12" ht="13" x14ac:dyDescent="0.3"/>
    <row r="44" spans="2:12" ht="13" x14ac:dyDescent="0.3"/>
    <row r="45" spans="2:12" ht="13" x14ac:dyDescent="0.3"/>
    <row r="46" spans="2:12" ht="13" x14ac:dyDescent="0.3"/>
    <row r="47" spans="2:12" ht="13" x14ac:dyDescent="0.3"/>
    <row r="48" spans="2:12" ht="13" x14ac:dyDescent="0.3"/>
    <row r="49" ht="13" x14ac:dyDescent="0.3"/>
    <row r="50" ht="13" x14ac:dyDescent="0.3"/>
    <row r="51" ht="13" x14ac:dyDescent="0.3"/>
  </sheetData>
  <mergeCells count="22">
    <mergeCell ref="D20:E20"/>
    <mergeCell ref="B6:D6"/>
    <mergeCell ref="D9:E9"/>
    <mergeCell ref="B10:B12"/>
    <mergeCell ref="C10:C12"/>
    <mergeCell ref="D17:E17"/>
    <mergeCell ref="D19:E19"/>
    <mergeCell ref="D18:E18"/>
    <mergeCell ref="D13:E13"/>
    <mergeCell ref="B15:B16"/>
    <mergeCell ref="C15:C16"/>
    <mergeCell ref="D22:E22"/>
    <mergeCell ref="D23:E23"/>
    <mergeCell ref="D24:E24"/>
    <mergeCell ref="D25:E25"/>
    <mergeCell ref="D27:E27"/>
    <mergeCell ref="D26:E26"/>
    <mergeCell ref="B30:B35"/>
    <mergeCell ref="C30:C31"/>
    <mergeCell ref="C32:C33"/>
    <mergeCell ref="C34:C35"/>
    <mergeCell ref="D28:E28"/>
  </mergeCells>
  <phoneticPr fontId="2"/>
  <dataValidations count="1">
    <dataValidation type="whole" operator="lessThanOrEqual" allowBlank="1" showInputMessage="1" prompt="損益相殺される金額を，マイナスで記載してください。" sqref="C30 C32 C34" xr:uid="{00000000-0002-0000-0100-000000000000}">
      <formula1>0</formula1>
    </dataValidation>
  </dataValidations>
  <pageMargins left="0.98425196850393704" right="0.39370078740157483" top="0.78740157480314965" bottom="0.59055118110236227" header="0.31496062992125984" footer="0.31496062992125984"/>
  <pageSetup paperSize="9" scale="59" fitToHeight="0" orientation="portrait" r:id="rId1"/>
  <headerFooter>
    <oddHeader>&amp;L（別紙２）</oddHeader>
    <oddFooter>&amp;C７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FCAD21FC462D4A87925904AB76CA16" ma:contentTypeVersion="3" ma:contentTypeDescription="新しいドキュメントを作成します。" ma:contentTypeScope="" ma:versionID="edbd076bd16685d8e442962141ba1e5f">
  <xsd:schema xmlns:xsd="http://www.w3.org/2001/XMLSchema" xmlns:xs="http://www.w3.org/2001/XMLSchema" xmlns:p="http://schemas.microsoft.com/office/2006/metadata/properties" xmlns:ns2="ed4f53b2-d53c-447a-b01e-3478dc2972ca" targetNamespace="http://schemas.microsoft.com/office/2006/metadata/properties" ma:root="true" ma:fieldsID="7660e61772b23291b7f24e54de52144a" ns2:_="">
    <xsd:import namespace="ed4f53b2-d53c-447a-b01e-3478dc297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f53b2-d53c-447a-b01e-3478dc297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B2A951-E8C9-4784-BF9F-1667C21099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D5B2E20-5F4F-44C4-A153-310AE279C8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628C7-6C86-4B76-B83B-20ECFF116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4f53b2-d53c-447a-b01e-3478dc297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別紙1</vt:lpstr>
      <vt:lpstr>別紙2</vt:lpstr>
      <vt:lpstr>別紙1!Print_Area</vt:lpstr>
      <vt:lpstr>別紙2!Print_Area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一樂 邦彦 K.I.</dc:creator>
  <cp:keywords/>
  <dc:description/>
  <cp:lastModifiedBy>uhlkatsura</cp:lastModifiedBy>
  <cp:revision/>
  <dcterms:created xsi:type="dcterms:W3CDTF">2019-04-08T14:53:50Z</dcterms:created>
  <dcterms:modified xsi:type="dcterms:W3CDTF">2025-12-19T09:56:34Z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0x010100E8FCAD21FC462D4A87925904AB76CA16</vt:lpwstr>
  </property>
</Properties>
</file>